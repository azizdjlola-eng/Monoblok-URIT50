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DASTUR\URIT 50\docs\"/>
    </mc:Choice>
  </mc:AlternateContent>
  <bookViews>
    <workbookView xWindow="0" yWindow="0" windowWidth="28800" windowHeight="12330" activeTab="4"/>
  </bookViews>
  <sheets>
    <sheet name="0-Mavjud ogohlantirish" sheetId="1" r:id="rId1"/>
    <sheet name="1-Bir komponentli" sheetId="2" r:id="rId2"/>
    <sheet name="2-Sifat (musbat-manfiy)" sheetId="3" r:id="rId3"/>
    <sheet name="3-Kop komponentli" sheetId="4" r:id="rId4"/>
    <sheet name="4-Signal katalogi" sheetId="5" r:id="rId5"/>
  </sheets>
  <calcPr calcId="162913"/>
</workbook>
</file>

<file path=xl/calcChain.xml><?xml version="1.0" encoding="utf-8"?>
<calcChain xmlns="http://schemas.openxmlformats.org/spreadsheetml/2006/main">
  <c r="L44" i="4" l="1"/>
</calcChain>
</file>

<file path=xl/sharedStrings.xml><?xml version="1.0" encoding="utf-8"?>
<sst xmlns="http://schemas.openxmlformats.org/spreadsheetml/2006/main" count="1200" uniqueCount="431">
  <si>
    <t>0-QISM. Bugun ALLAQACHON MAVJUD ogohlantirish signali (critical_alert.py, hozirgi holat)</t>
  </si>
  <si>
    <t>Manba: G:/DASTUR/URIT 50/critical_alert.py — DEFAULT_CONFIG. Faqat GEMOTOLOGIYA (BC-20S) va BIOXIMIYA (BK-280) uchun ishlaydi. Qolgan barcha tahlillarda hozircha bunday signal yo'q.</t>
  </si>
  <si>
    <t>GEMOTOLOGIYA (BC-20S) — check_hematology()</t>
  </si>
  <si>
    <t>Parametr</t>
  </si>
  <si>
    <t>Past (low)</t>
  </si>
  <si>
    <t>Baland (high)</t>
  </si>
  <si>
    <t>0/manfiy qoidasi</t>
  </si>
  <si>
    <t>Signal</t>
  </si>
  <si>
    <t>Izoh</t>
  </si>
  <si>
    <t>WBC (leykotsitlar)</t>
  </si>
  <si>
    <t>Kritik</t>
  </si>
  <si>
    <t>10^9/l</t>
  </si>
  <si>
    <t>RBC (eritrotsitlar)</t>
  </si>
  <si>
    <t>10^12/l</t>
  </si>
  <si>
    <t>HGB (gemoglobin)</t>
  </si>
  <si>
    <t>g/l</t>
  </si>
  <si>
    <t>PLT (trombotsitlar)</t>
  </si>
  <si>
    <t>BIOXIMIYA (BK-280) — check_biochemistry(): har tahlil bo'yicha past/nol/baland</t>
  </si>
  <si>
    <t>Tahlil (nomdan qidiriladi)</t>
  </si>
  <si>
    <t>0 = xato?</t>
  </si>
  <si>
    <t>Manfiy = xato?</t>
  </si>
  <si>
    <t>Umumiy oqsil</t>
  </si>
  <si>
    <t>Ha</t>
  </si>
  <si>
    <t>-</t>
  </si>
  <si>
    <t>Albumin (mikroalbumin bundan mustasno)</t>
  </si>
  <si>
    <t>Glyukoza (tolerantlik/soat/natoshchak testlari bundan mustasno)</t>
  </si>
  <si>
    <t>Kreatinin (nisbat/mochevina/"/" bundan mustasno)</t>
  </si>
  <si>
    <t>Mochevina (azot/nisbat/kislota/"/" bundan mustasno)</t>
  </si>
  <si>
    <t>Siydik kislota (mochevaya kislota)</t>
  </si>
  <si>
    <t>Kalsiy</t>
  </si>
  <si>
    <t>Kaliy</t>
  </si>
  <si>
    <t>Natriy</t>
  </si>
  <si>
    <t>Magniy</t>
  </si>
  <si>
    <t>Temir (Fe)</t>
  </si>
  <si>
    <t>ALT (Alanin aminotransferaza)</t>
  </si>
  <si>
    <t>AST (Aspartat aminotransferaza)</t>
  </si>
  <si>
    <t>LDG (Laktatdegidrogenaza)</t>
  </si>
  <si>
    <t>GGT (Gamma-glutamil transferaza)</t>
  </si>
  <si>
    <t>Ishqoriy fosfataza</t>
  </si>
  <si>
    <t>Amilaza</t>
  </si>
  <si>
    <t>Timol proba</t>
  </si>
  <si>
    <t>Umumiy xolesterin</t>
  </si>
  <si>
    <t>Trigliserid</t>
  </si>
  <si>
    <t>Umumiy bilirubin</t>
  </si>
  <si>
    <t>Bog'langan (direkt) bilirubin</t>
  </si>
  <si>
    <t>Qo'shimcha MANTIQIY QOIDALAR (bioximiya)</t>
  </si>
  <si>
    <t>Qoida</t>
  </si>
  <si>
    <t>Tavsif</t>
  </si>
  <si>
    <t>Bog'langan bilirubin &gt;= Umumiy bilirubin</t>
  </si>
  <si>
    <t>Fizik jihatdan mumkin emas — EDTA/sentrifuga/reagent xatosi shubhasi</t>
  </si>
  <si>
    <t>Bog'langan &gt; Umumiyning 90% i</t>
  </si>
  <si>
    <t>Shubhali yuqori ulush</t>
  </si>
  <si>
    <t>Diqqat</t>
  </si>
  <si>
    <t>Kreatinin &lt; 40</t>
  </si>
  <si>
    <t>Reagent kam shubhasi</t>
  </si>
  <si>
    <t>Kreatinin/Mochevina nisbati &lt; 8 (mochevina&gt;2.5 bo'lganda)</t>
  </si>
  <si>
    <t>Norma 10-20; past bo'lsa kreatinin reagenti tugagan shubhasi</t>
  </si>
  <si>
    <t>1-QISM. Bir komponentli tahlillar — Ogohlantirish (mavjud) + Xatolik ehtimoli (yangi taklif)</t>
  </si>
  <si>
    <t>RANGLAR: YASHIL = Ogohlantirish signali — bugun critical_alert.py da ALLAQACHON MAVJUD (klinik/reagent xavotir chegarasi, gemotologiya+bioximiya uchun ishlab turibdi). SARIQ = Xatolik ehtimoli — YANGI TAKLIF (o'lchov/lineynost chegarasi, hali kodda yo'q, umumiy klinik-laboratoriya bilimiga asoslangan TAXMIN — reagent pasportlari bilan tasdiqlash kerak). KULRANG = hali aniqlanmagan/sozlanmagan.</t>
  </si>
  <si>
    <t>ID</t>
  </si>
  <si>
    <t>Tahlil nomi</t>
  </si>
  <si>
    <t>Guruh</t>
  </si>
  <si>
    <t>Birlik</t>
  </si>
  <si>
    <t>Ogohlantirish: Past (mavjud)</t>
  </si>
  <si>
    <t>Ogohlantirish: Baland (mavjud)</t>
  </si>
  <si>
    <t>Ogohlantirish: 0/manfiy (mavjud)</t>
  </si>
  <si>
    <t>Xatolik ehtimoli: Min (taklif)</t>
  </si>
  <si>
    <t>Xatolik ehtimoli: Max (taklif)</t>
  </si>
  <si>
    <t>Butun/O'nlik</t>
  </si>
  <si>
    <t>Alanin aminotransferaza (ALT)</t>
  </si>
  <si>
    <t>Bioximiya</t>
  </si>
  <si>
    <t>E/l</t>
  </si>
  <si>
    <t>manfiy=xato</t>
  </si>
  <si>
    <t>O'nlik</t>
  </si>
  <si>
    <t>Albumin</t>
  </si>
  <si>
    <t>0=xato</t>
  </si>
  <si>
    <t>Alfa-amilaza</t>
  </si>
  <si>
    <t>Alfa-amilaza pankreaticheskiy</t>
  </si>
  <si>
    <t>Aspartat aminotransferaza (AST)</t>
  </si>
  <si>
    <t>Gamma-glutamil transferaza (GGT)</t>
  </si>
  <si>
    <t>Glyukoza</t>
  </si>
  <si>
    <t>mmol/l</t>
  </si>
  <si>
    <t>Glyukozaga tolerantlik testi</t>
  </si>
  <si>
    <t>Ko'p nuqtali bo'lishi mumkin — 3-qismga o'tkazish tavsiya etiladi</t>
  </si>
  <si>
    <t>Ishqoriy fosfataza (IF)</t>
  </si>
  <si>
    <t>Kaliy K</t>
  </si>
  <si>
    <t>Kalsiy Ca</t>
  </si>
  <si>
    <t>Kreatinin</t>
  </si>
  <si>
    <t>mkmol/l</t>
  </si>
  <si>
    <t>Laktatdegidrogrenaza (LDG)</t>
  </si>
  <si>
    <t>Magniy Mg</t>
  </si>
  <si>
    <t>Mochevina</t>
  </si>
  <si>
    <t>Natriy Na</t>
  </si>
  <si>
    <t>Siydik kislota (Mochevaya kislota)</t>
  </si>
  <si>
    <t>Temir Fe</t>
  </si>
  <si>
    <t>ye.</t>
  </si>
  <si>
    <t>Trigliserid-TG</t>
  </si>
  <si>
    <t>Umumiy xolesterin (TC)</t>
  </si>
  <si>
    <t>LDL-Past zichlikli lipoprotein</t>
  </si>
  <si>
    <t>HDL-Yuqori zichlikli lipoprotein</t>
  </si>
  <si>
    <t>Xolinesteraza (CHE)</t>
  </si>
  <si>
    <t>Butun</t>
  </si>
  <si>
    <t>ACHTV</t>
  </si>
  <si>
    <t>Gemostaz</t>
  </si>
  <si>
    <t>sek</t>
  </si>
  <si>
    <t>Fibrinogen</t>
  </si>
  <si>
    <t>Protrombin Time (PTI, PT/MNO)</t>
  </si>
  <si>
    <t>sek/%/INR</t>
  </si>
  <si>
    <t>Aslida 3 qiymatli — 3-qismga o'tkazish tavsiya etiladi</t>
  </si>
  <si>
    <t>Trombinovoe vremya (TT)</t>
  </si>
  <si>
    <t>Qonning ivish vaqti QIB</t>
  </si>
  <si>
    <t>daq</t>
  </si>
  <si>
    <t>Eritrotsitlar cho'kish tezligi (ECHT)</t>
  </si>
  <si>
    <t>mm/soat</t>
  </si>
  <si>
    <t>ASLO (Antistreptolizin-O) avtomat</t>
  </si>
  <si>
    <t>Revmoproba</t>
  </si>
  <si>
    <t>ME/ml</t>
  </si>
  <si>
    <t>CRP (S-reaktivniy belok) avtomat</t>
  </si>
  <si>
    <t>mg/l</t>
  </si>
  <si>
    <t>RF (Revmatoidniy faktor) avtomat</t>
  </si>
  <si>
    <t>Anti HBsAg (Antitelo) immunitet IFA</t>
  </si>
  <si>
    <t>IFA</t>
  </si>
  <si>
    <t>mME/ml</t>
  </si>
  <si>
    <t>Askarida IgG IFA</t>
  </si>
  <si>
    <t>KP (indeks)</t>
  </si>
  <si>
    <t>Koeffitsient pozitivnosti</t>
  </si>
  <si>
    <t>AT-TPO IFA</t>
  </si>
  <si>
    <t>CA 72-4 (oshqozon onkomarkeri)</t>
  </si>
  <si>
    <t>E/ml</t>
  </si>
  <si>
    <t>CA15-3 (ko'krak saratoni belgisi)</t>
  </si>
  <si>
    <t>Gepatit A (IgG, IFA)</t>
  </si>
  <si>
    <t>Gepatit B (HBsAg, IFA)</t>
  </si>
  <si>
    <t>Gepatit C (Anti-HCV, IFA)</t>
  </si>
  <si>
    <t>Gepatit D (D-antitela, IFA)</t>
  </si>
  <si>
    <t>IgE umumiy (Allergiya uchun)</t>
  </si>
  <si>
    <t>Insulin IFA</t>
  </si>
  <si>
    <t>mkED/ml</t>
  </si>
  <si>
    <t>Estradiol IFA</t>
  </si>
  <si>
    <t>pg/ml</t>
  </si>
  <si>
    <t>Ferritin</t>
  </si>
  <si>
    <t>ng/ml</t>
  </si>
  <si>
    <t>FSG (FSH) IFA</t>
  </si>
  <si>
    <t>Helicobakter pylori IgG IFA</t>
  </si>
  <si>
    <t>Kortizol IFA</t>
  </si>
  <si>
    <t>nmol/l</t>
  </si>
  <si>
    <t>LG (LH) IFA</t>
  </si>
  <si>
    <t>Lyambliya-antitela IFA</t>
  </si>
  <si>
    <t>Pepsinogen I (PGI) IFA</t>
  </si>
  <si>
    <t>Pepsinogen II (PGII) IFA</t>
  </si>
  <si>
    <t>Progesteron IFA</t>
  </si>
  <si>
    <t>Prolaktin IFA</t>
  </si>
  <si>
    <t>T3 erkin IFA</t>
  </si>
  <si>
    <t>pmol/l</t>
  </si>
  <si>
    <t>T4 erkin IFA</t>
  </si>
  <si>
    <t>Testesteron Erkin IFA</t>
  </si>
  <si>
    <t>Testesteron IFA</t>
  </si>
  <si>
    <t>TTG (TSH) IFA</t>
  </si>
  <si>
    <t>mME/l</t>
  </si>
  <si>
    <t>Umumiy PSA IFA</t>
  </si>
  <si>
    <t>Vitamin B12</t>
  </si>
  <si>
    <t>Vitamin D (25-OH)</t>
  </si>
  <si>
    <t>XGCh (Homiladorlik gormoni) IFA</t>
  </si>
  <si>
    <t>Homiladorlikda juda keng diapazon</t>
  </si>
  <si>
    <t>Troponin T</t>
  </si>
  <si>
    <t>IFA/Kardio</t>
  </si>
  <si>
    <t>2-QISM. Sifat ko'rsatkichi (musbat/manfiy) tahlillar</t>
  </si>
  <si>
    <t>Bu tahlillarda erkin matn EMAS, faqat ro'yxatdagi variantlardan biri tanlanishi kerak (dropdown). Hozircha bularda Ogohlantirish signali (critical_alert.py) mavjud emas — barchasi YANGI taklif (Xatolik ehtimoli, Q1-Q2).</t>
  </si>
  <si>
    <t>Tavsiya etiladigan variantlar (dropdown)</t>
  </si>
  <si>
    <t>Ogohlantirish (mavjud)</t>
  </si>
  <si>
    <t>Gepatit B (HBsAg, ekspress)</t>
  </si>
  <si>
    <t>Manfiy; Musbat</t>
  </si>
  <si>
    <t>Yo'q</t>
  </si>
  <si>
    <t>Gepatit C (HCV-Ab, ekspress)</t>
  </si>
  <si>
    <t>Helicobakter pylori AB (ekspress)</t>
  </si>
  <si>
    <t>H.Pylori Test (axlatdan)</t>
  </si>
  <si>
    <t>RW sifilis (ekspress)</t>
  </si>
  <si>
    <t>Axlatdan yashirin qon testi</t>
  </si>
  <si>
    <t>Demodikozni aniqlash</t>
  </si>
  <si>
    <t>Topilmadi; Topildi (soni: __ dona)</t>
  </si>
  <si>
    <t>Son maydoni qo'shimcha bo'lishi mumkin</t>
  </si>
  <si>
    <t>Qo'tir kanasi aniqlash</t>
  </si>
  <si>
    <t>Topilmadi; Topildi</t>
  </si>
  <si>
    <t>Zamburug' tekshiruvi</t>
  </si>
  <si>
    <t>Topilmadi; Topildi (turi: __)</t>
  </si>
  <si>
    <t>3-QISM. Ko'p komponentli tahlillar — Ogohlantirish (mavjud) + Xatolik ehtimoli (taklif)</t>
  </si>
  <si>
    <t>Test ID</t>
  </si>
  <si>
    <t>Komponent kaliti</t>
  </si>
  <si>
    <t>Komponent nomi</t>
  </si>
  <si>
    <t>Qonning umumiy tahlili (CBC)</t>
  </si>
  <si>
    <t>WBC</t>
  </si>
  <si>
    <t>Leykotsitlar (WBC)</t>
  </si>
  <si>
    <t>val&lt;=0=xato</t>
  </si>
  <si>
    <t>Mavjud: check_hematology()</t>
  </si>
  <si>
    <t>RBC</t>
  </si>
  <si>
    <t>Eritrotsitlar (RBC)</t>
  </si>
  <si>
    <t>HGB</t>
  </si>
  <si>
    <t>Gemoglobin (HGB)</t>
  </si>
  <si>
    <t>PLT</t>
  </si>
  <si>
    <t>Trombotsitlar (PLT)</t>
  </si>
  <si>
    <t>boshqa parametrlar</t>
  </si>
  <si>
    <t>MCV/MCH/MCHC/RDW/MPV va h.k.</t>
  </si>
  <si>
    <t>Hozircha ogohlantirishda yo'q — kengaytirish mumkin</t>
  </si>
  <si>
    <t>Bilirubin</t>
  </si>
  <si>
    <t>umumiy</t>
  </si>
  <si>
    <t>Mavjud: check_biochemistry() umumiy_bilirubin</t>
  </si>
  <si>
    <t>bog_langan</t>
  </si>
  <si>
    <t>Bog'langan bilirubin</t>
  </si>
  <si>
    <t>Mavjud + qoida: bog_langan&gt;=umumiy -&gt; kritik (R1)</t>
  </si>
  <si>
    <t>erkin</t>
  </si>
  <si>
    <t>Erkin bilirubin</t>
  </si>
  <si>
    <t>Avtomatik hisoblanadi, manfiy bo'lmasligi kerak (R2)</t>
  </si>
  <si>
    <t>REVMOPROBA to'liq (avtomat)</t>
  </si>
  <si>
    <t>rf</t>
  </si>
  <si>
    <t>RF avtomat</t>
  </si>
  <si>
    <t>crp</t>
  </si>
  <si>
    <t>CRP avtomat</t>
  </si>
  <si>
    <t>aslo</t>
  </si>
  <si>
    <t>ASLO avtomat</t>
  </si>
  <si>
    <t>REVMOPROBA to'liq (qo'lda)</t>
  </si>
  <si>
    <t>RF qo'lda</t>
  </si>
  <si>
    <t>CRP qo'lda</t>
  </si>
  <si>
    <t>Titr qoidasi: 0/6/12/24/48/96</t>
  </si>
  <si>
    <t>ASLO qo'lda</t>
  </si>
  <si>
    <t>KOAGULOGRAMMA to'liq</t>
  </si>
  <si>
    <t>pt_sek</t>
  </si>
  <si>
    <t>PT sekundalarda</t>
  </si>
  <si>
    <t>pt_kviku</t>
  </si>
  <si>
    <t>PT bo'yicha Kviku</t>
  </si>
  <si>
    <t>%</t>
  </si>
  <si>
    <t>pt_mno</t>
  </si>
  <si>
    <t>MNO/INR</t>
  </si>
  <si>
    <t>INR</t>
  </si>
  <si>
    <t>tt</t>
  </si>
  <si>
    <t>Trombin vaqti (TT)</t>
  </si>
  <si>
    <t>achtv</t>
  </si>
  <si>
    <t>fibrinogen</t>
  </si>
  <si>
    <t>LIPID SPEKTRI</t>
  </si>
  <si>
    <t>tc</t>
  </si>
  <si>
    <t>Yo'q*</t>
  </si>
  <si>
    <t>*Alohida 'Umumiy xolesterin' testida mavjud (high=12,zero); shu tahlilda hali ulanmagan</t>
  </si>
  <si>
    <t>hdl</t>
  </si>
  <si>
    <t>HDL</t>
  </si>
  <si>
    <t>ldl</t>
  </si>
  <si>
    <t>LDL</t>
  </si>
  <si>
    <t>tg</t>
  </si>
  <si>
    <t>Trigliseridlar (TG)</t>
  </si>
  <si>
    <t>*Alohida 'Trigliserid-TG' testida mavjud (high=15,zero)</t>
  </si>
  <si>
    <t>vldl</t>
  </si>
  <si>
    <t>VLDL (avtomatik)</t>
  </si>
  <si>
    <t>Avtomatik: TG/2.2; yig'indi tekshiruvi (R3)</t>
  </si>
  <si>
    <t>ka</t>
  </si>
  <si>
    <t>Aterogenlik koeffitsienti KA (avtomatik)</t>
  </si>
  <si>
    <t>Avtomatik: (TC-HDL)/HDL</t>
  </si>
  <si>
    <t>BUYRAK PANELI</t>
  </si>
  <si>
    <t>mochevina</t>
  </si>
  <si>
    <t>*Alohida 'Mochevina' testida mavjud (low=0.5,high=30,zero)</t>
  </si>
  <si>
    <t>kreatinin</t>
  </si>
  <si>
    <t>*Alohida 'Kreatinin' testida mavjud (low=40,high=500,zero)</t>
  </si>
  <si>
    <t>siydik_kislota</t>
  </si>
  <si>
    <t>Siydik kislotasi</t>
  </si>
  <si>
    <t>*Alohida testida mavjud (low=60,high=900,zero)</t>
  </si>
  <si>
    <t>albumin</t>
  </si>
  <si>
    <t>*Alohida testida mavjud (low=20,high=60,zero)</t>
  </si>
  <si>
    <t>bun</t>
  </si>
  <si>
    <t>Mochevina azoti (BUN, avtomatik)</t>
  </si>
  <si>
    <t>Avtomatik: mochevina x 0.466</t>
  </si>
  <si>
    <t>gfr</t>
  </si>
  <si>
    <t>GFR (avtomatik)</t>
  </si>
  <si>
    <t>ml/min</t>
  </si>
  <si>
    <t>Avtomatik: yosh/jins/kreatinin formulasi</t>
  </si>
  <si>
    <t>Siydikning Nicheporenko tahlili</t>
  </si>
  <si>
    <t>leykot</t>
  </si>
  <si>
    <t>Leykotsitlar</t>
  </si>
  <si>
    <t>1/ml</t>
  </si>
  <si>
    <t>eritr</t>
  </si>
  <si>
    <t>Eritrotsitlar</t>
  </si>
  <si>
    <t>silindirlar</t>
  </si>
  <si>
    <t>Silindrlar</t>
  </si>
  <si>
    <t>Siydikning Zimnitskiy tahlili</t>
  </si>
  <si>
    <t>miqdori_1-8</t>
  </si>
  <si>
    <t>Har porsiya miqdori</t>
  </si>
  <si>
    <t>ml</t>
  </si>
  <si>
    <t>8 ta porsiya, har biri alohida</t>
  </si>
  <si>
    <t>solishtirma_1-8</t>
  </si>
  <si>
    <t>Har porsiya solishtirma zichligi</t>
  </si>
  <si>
    <t>kunduzgi_diurez</t>
  </si>
  <si>
    <t>Kunduzgi diurez (avtomatik)</t>
  </si>
  <si>
    <t>Yig'indi tekshiruvi (R4)</t>
  </si>
  <si>
    <t>tungi_diurez</t>
  </si>
  <si>
    <t>Tungi diurez (avtomatik)</t>
  </si>
  <si>
    <t>jami_diurez</t>
  </si>
  <si>
    <t>Jami diurez (avtomatik)</t>
  </si>
  <si>
    <t>Brutselyoz (Xedelson + Rayta)</t>
  </si>
  <si>
    <t>xedelson</t>
  </si>
  <si>
    <t>Reaktsiya Xedelson</t>
  </si>
  <si>
    <t>titr/sifat</t>
  </si>
  <si>
    <t>Sifat</t>
  </si>
  <si>
    <t>Manfiy/Musbat yoki titr (1:50...1:800)</t>
  </si>
  <si>
    <t>rayta</t>
  </si>
  <si>
    <t>Reaktsiya Rayta</t>
  </si>
  <si>
    <t>titr</t>
  </si>
  <si>
    <t>Titr: 1:25...1:800</t>
  </si>
  <si>
    <t>Qon guruhi va rezus faktorini aniqlash</t>
  </si>
  <si>
    <t>guruh</t>
  </si>
  <si>
    <t>Qon guruhi</t>
  </si>
  <si>
    <t>Ro'yxat</t>
  </si>
  <si>
    <t>O(I); A(II); B(III); AB(IV)</t>
  </si>
  <si>
    <t>rezus</t>
  </si>
  <si>
    <t>Rezus faktor</t>
  </si>
  <si>
    <t>Rh+; Rh-</t>
  </si>
  <si>
    <t>Spermogramma</t>
  </si>
  <si>
    <t>?</t>
  </si>
  <si>
    <t>Kodda aniq JSON kalitlar topilmadi</t>
  </si>
  <si>
    <t>Aniqlanmagan</t>
  </si>
  <si>
    <t>Keyingi bosqichda kod/shablon qidirib to'ldiriladi</t>
  </si>
  <si>
    <t>Ginekologik surtma</t>
  </si>
  <si>
    <t>Keyingi bosqichda aniqlanadi</t>
  </si>
  <si>
    <t>Mujskoy mazok (Erkaklar surtmasi)</t>
  </si>
  <si>
    <t>TORCH test IgM va IgG (to'liq)</t>
  </si>
  <si>
    <t>8 ta natija — kalitlar aniqlanishi kerak</t>
  </si>
  <si>
    <t>Najas tahlili (Gijja uchun)</t>
  </si>
  <si>
    <t>Sifat+son aralash, aniqlanishi kerak</t>
  </si>
  <si>
    <t>Qondan mazok (morfologiya) ko'rish</t>
  </si>
  <si>
    <t>tavsif</t>
  </si>
  <si>
    <t>Erkin tavsif matni</t>
  </si>
  <si>
    <t>Matn</t>
  </si>
  <si>
    <t>Faqat bo'sh emasligi tekshiriladi</t>
  </si>
  <si>
    <t>4-QISM. Ikkita signal turi: Ogohlantirish signali vs Xatolik ehtimoli</t>
  </si>
  <si>
    <t>Ogohlantirish signali = natija klinik/fiziologik jihatdan xavotirli yoki reagent/namuna muammosi shubhasini bildiradi (natija to'g'ri kiritilgan bo'lsa ham chiqadi). Xatolik ehtimoli = natija kiritishda xato bo'lganligini bildiradi (format/klaviatura/lineynost).</t>
  </si>
  <si>
    <t>Kod</t>
  </si>
  <si>
    <t>Signal turi</t>
  </si>
  <si>
    <t>Toifa</t>
  </si>
  <si>
    <t>Xato/holat turi</t>
  </si>
  <si>
    <t>Misol</t>
  </si>
  <si>
    <t>Aniqlash usuli</t>
  </si>
  <si>
    <t>Daraja</t>
  </si>
  <si>
    <t>O1</t>
  </si>
  <si>
    <t>Ogohlantirish (MAVJUD)</t>
  </si>
  <si>
    <t>Gemotologiya</t>
  </si>
  <si>
    <t>WBC/RBC/HGB/PLT chegaradan chiqishi yoki 0/manfiy</t>
  </si>
  <si>
    <t>WBC=25 (norma 4-20 dan tashqari)</t>
  </si>
  <si>
    <t>check_hematology()</t>
  </si>
  <si>
    <t>O2</t>
  </si>
  <si>
    <t>20 ta tahlil bo'yicha past/nol/baland (0-qismga qarang)</t>
  </si>
  <si>
    <t>Kreatinin=20 (past&lt;40)</t>
  </si>
  <si>
    <t>check_biochemistry()</t>
  </si>
  <si>
    <t>Kritik/Diqqat</t>
  </si>
  <si>
    <t>O3</t>
  </si>
  <si>
    <t>Bioximiya - nisbat</t>
  </si>
  <si>
    <t>Bog'langan=50, Umumiy=45</t>
  </si>
  <si>
    <t>check_biochemistry() rules</t>
  </si>
  <si>
    <t>O4</t>
  </si>
  <si>
    <t>Kreatinin/Mochevina nisbati &lt; 8</t>
  </si>
  <si>
    <t>Kreatinin past, Mochevina baland</t>
  </si>
  <si>
    <t>O5</t>
  </si>
  <si>
    <t>Ogohlantirish (YANGI, taklif)</t>
  </si>
  <si>
    <t>Barcha tahlillar</t>
  </si>
  <si>
    <t>Har bir tahlil uchun 0-qismdagiga o'xshash past/baland/0/manfiy qoida qo'shish</t>
  </si>
  <si>
    <t>masalan TTG=0 (fiziologik shubhali)</t>
  </si>
  <si>
    <t>Yangi umumiy check_generic_warning()</t>
  </si>
  <si>
    <t>O6</t>
  </si>
  <si>
    <t>Ko'p komponentli - nisbat</t>
  </si>
  <si>
    <t>Fraksiya&gt;umumiy, yig'indi&gt;100%, diurez yig'indisi mos emas</t>
  </si>
  <si>
    <t>LDL+HDL+VLDL&gt;TC</t>
  </si>
  <si>
    <t>Yangi nisbat qoidalari (R1-R6)</t>
  </si>
  <si>
    <t>X1</t>
  </si>
  <si>
    <t>Xatolik ehtimoli (YANGI)</t>
  </si>
  <si>
    <t>Format</t>
  </si>
  <si>
    <t>Ikkita nuqta/vergul</t>
  </si>
  <si>
    <t>1.152.01</t>
  </si>
  <si>
    <t>Regex: bitta natijada faqat 1 ta ./,</t>
  </si>
  <si>
    <t>X2</t>
  </si>
  <si>
    <t>Nuqta + chiziqcha aralash</t>
  </si>
  <si>
    <t>2.37-1</t>
  </si>
  <si>
    <t>Raqam formatiga mos kelmasa rad etish</t>
  </si>
  <si>
    <t>X3</t>
  </si>
  <si>
    <t>Boshida ortiqcha 0</t>
  </si>
  <si>
    <t>00.976</t>
  </si>
  <si>
    <t>Parse qilib qayta formatlash/ogohlantirish</t>
  </si>
  <si>
    <t>X4</t>
  </si>
  <si>
    <t>Raqam o'rniga harf/belgi</t>
  </si>
  <si>
    <t>1.15a ; -- ; ??</t>
  </si>
  <si>
    <t>float() ga o'tmasa - xato</t>
  </si>
  <si>
    <t>X5</t>
  </si>
  <si>
    <t>Bo'sh natija saqlash</t>
  </si>
  <si>
    <t>(bo'sh)</t>
  </si>
  <si>
    <t>Majburiy maydon tekshiruvi</t>
  </si>
  <si>
    <t>X6</t>
  </si>
  <si>
    <t>Ortiqcha probel/tab</t>
  </si>
  <si>
    <t>12 .5</t>
  </si>
  <si>
    <t>Trim + regex</t>
  </si>
  <si>
    <t>X7</t>
  </si>
  <si>
    <t>Kutilmagan manfiy son</t>
  </si>
  <si>
    <t>-5</t>
  </si>
  <si>
    <t>Format/lineynost qoidasi</t>
  </si>
  <si>
    <t>X8</t>
  </si>
  <si>
    <t>Butun/kasr nomuvofiqligi</t>
  </si>
  <si>
    <t>leykotsit soni 7.5</t>
  </si>
  <si>
    <t>Tahlil turiga qarab int/float validatsiyasi</t>
  </si>
  <si>
    <t>X9</t>
  </si>
  <si>
    <t>Tugma yopishib qolishi (takror raqam)</t>
  </si>
  <si>
    <t>1111111.5</t>
  </si>
  <si>
    <t>Lineynost chegarasi (1-3 qism Max ustuni) orqali ushlanadi</t>
  </si>
  <si>
    <t>X10</t>
  </si>
  <si>
    <t>Notekis o'nlik ajratkich</t>
  </si>
  <si>
    <t>2,37.5</t>
  </si>
  <si>
    <t>Normalizatsiya qoidasi</t>
  </si>
  <si>
    <t>X11</t>
  </si>
  <si>
    <t>Ikki marta bosilib qo'sh belgi</t>
  </si>
  <si>
    <t>..5 ; 1..5</t>
  </si>
  <si>
    <t>Regex</t>
  </si>
  <si>
    <t>X12</t>
  </si>
  <si>
    <t>Lineynost</t>
  </si>
  <si>
    <t>Eng past chegaradan past (1/3-qism Min ustuni)</t>
  </si>
  <si>
    <t>reagent 2.0 dan boshlanadi, 0.5 kiritilgan</t>
  </si>
  <si>
    <t>min_taklif bilan solishtirish</t>
  </si>
  <si>
    <t>X13</t>
  </si>
  <si>
    <t>Eng yuqori chegaradan baland (1/3-qism Max ustuni)</t>
  </si>
  <si>
    <t>lineynost 500 gacha, 5000 kiritilgan</t>
  </si>
  <si>
    <t>max_taklif bilan solishtirish</t>
  </si>
  <si>
    <t>X14</t>
  </si>
  <si>
    <t>Ro'yxatdan tashqari matn</t>
  </si>
  <si>
    <t>'manfi' o'rniga 'Manfiy'</t>
  </si>
  <si>
    <t>Faqat dropdown, erkin matn yo'q</t>
  </si>
  <si>
    <t>X15</t>
  </si>
  <si>
    <t>Katta/kichik harf nomuvofiqligi</t>
  </si>
  <si>
    <t>musbat vs Musbat</t>
  </si>
  <si>
    <t>Case-insensitive yoki majburiy dropdown</t>
  </si>
  <si>
    <t>val&lt;=1 -&gt; xato</t>
  </si>
  <si>
    <t>val&lt;=15 -&gt; xato</t>
  </si>
  <si>
    <t>val&lt;=5 -&gt; xato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</si>
</sst>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3"/>
      <color rgb="FF1F4E78"/>
      <name val="Arial"/>
    </font>
    <font>
      <i/>
      <sz val="9"/>
      <color rgb="FF7F7F7F"/>
      <name val="Arial"/>
    </font>
    <font>
      <b/>
      <sz val="11"/>
      <name val="Arial"/>
    </font>
    <font>
      <b/>
      <sz val="10"/>
      <color rgb="FFFFFFFF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opLeftCell="A19" workbookViewId="0">
      <selection activeCell="D10" sqref="D10"/>
    </sheetView>
  </sheetViews>
  <sheetFormatPr defaultRowHeight="15" x14ac:dyDescent="0.25"/>
  <cols>
    <col min="1" max="1" width="46" customWidth="1"/>
    <col min="2" max="3" width="12" customWidth="1"/>
    <col min="4" max="4" width="14" customWidth="1"/>
    <col min="5" max="5" width="10" customWidth="1"/>
    <col min="6" max="6" width="30" customWidth="1"/>
    <col min="7" max="7" width="6" customWidth="1"/>
  </cols>
  <sheetData>
    <row r="1" spans="1:7" ht="16.5" x14ac:dyDescent="0.25">
      <c r="A1" s="8" t="s">
        <v>0</v>
      </c>
      <c r="B1" s="7"/>
      <c r="C1" s="7"/>
      <c r="D1" s="7"/>
      <c r="E1" s="7"/>
      <c r="F1" s="7"/>
      <c r="G1" s="7"/>
    </row>
    <row r="2" spans="1:7" ht="27.95" customHeight="1" x14ac:dyDescent="0.25">
      <c r="A2" s="9" t="s">
        <v>1</v>
      </c>
      <c r="B2" s="7"/>
      <c r="C2" s="7"/>
      <c r="D2" s="7"/>
      <c r="E2" s="7"/>
      <c r="F2" s="7"/>
      <c r="G2" s="7"/>
    </row>
    <row r="4" spans="1:7" x14ac:dyDescent="0.25">
      <c r="A4" s="6" t="s">
        <v>2</v>
      </c>
      <c r="B4" s="7"/>
      <c r="C4" s="7"/>
      <c r="D4" s="7"/>
      <c r="E4" s="7"/>
      <c r="F4" s="7"/>
      <c r="G4" s="7"/>
    </row>
    <row r="5" spans="1:7" ht="25.5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</row>
    <row r="6" spans="1:7" x14ac:dyDescent="0.25">
      <c r="A6" s="2" t="s">
        <v>9</v>
      </c>
      <c r="B6" s="2">
        <v>4</v>
      </c>
      <c r="C6" s="2">
        <v>20</v>
      </c>
      <c r="D6" s="2" t="s">
        <v>428</v>
      </c>
      <c r="E6" s="2" t="s">
        <v>10</v>
      </c>
      <c r="F6" s="2" t="s">
        <v>11</v>
      </c>
    </row>
    <row r="7" spans="1:7" x14ac:dyDescent="0.25">
      <c r="A7" s="2" t="s">
        <v>12</v>
      </c>
      <c r="B7" s="2">
        <v>2.5</v>
      </c>
      <c r="C7" s="2">
        <v>6</v>
      </c>
      <c r="D7" s="2" t="s">
        <v>428</v>
      </c>
      <c r="E7" s="2" t="s">
        <v>10</v>
      </c>
      <c r="F7" s="2" t="s">
        <v>13</v>
      </c>
    </row>
    <row r="8" spans="1:7" x14ac:dyDescent="0.25">
      <c r="A8" s="2" t="s">
        <v>14</v>
      </c>
      <c r="B8" s="2">
        <v>80</v>
      </c>
      <c r="C8" s="2">
        <v>160</v>
      </c>
      <c r="D8" s="2" t="s">
        <v>429</v>
      </c>
      <c r="E8" s="2" t="s">
        <v>10</v>
      </c>
      <c r="F8" s="2" t="s">
        <v>15</v>
      </c>
    </row>
    <row r="9" spans="1:7" x14ac:dyDescent="0.25">
      <c r="A9" s="2" t="s">
        <v>16</v>
      </c>
      <c r="B9" s="2">
        <v>100</v>
      </c>
      <c r="C9" s="2">
        <v>600</v>
      </c>
      <c r="D9" s="2" t="s">
        <v>430</v>
      </c>
      <c r="E9" s="2" t="s">
        <v>10</v>
      </c>
      <c r="F9" s="2" t="s">
        <v>11</v>
      </c>
    </row>
    <row r="11" spans="1:7" x14ac:dyDescent="0.25">
      <c r="A11" s="6" t="s">
        <v>17</v>
      </c>
      <c r="B11" s="7"/>
      <c r="C11" s="7"/>
      <c r="D11" s="7"/>
      <c r="E11" s="7"/>
      <c r="F11" s="7"/>
      <c r="G11" s="7"/>
    </row>
    <row r="12" spans="1:7" ht="25.5" x14ac:dyDescent="0.25">
      <c r="A12" s="1" t="s">
        <v>18</v>
      </c>
      <c r="B12" s="1" t="s">
        <v>4</v>
      </c>
      <c r="C12" s="1" t="s">
        <v>5</v>
      </c>
      <c r="D12" s="1" t="s">
        <v>19</v>
      </c>
      <c r="E12" s="1" t="s">
        <v>20</v>
      </c>
      <c r="F12" s="1" t="s">
        <v>8</v>
      </c>
    </row>
    <row r="13" spans="1:7" x14ac:dyDescent="0.25">
      <c r="A13" s="2" t="s">
        <v>21</v>
      </c>
      <c r="B13" s="2">
        <v>40</v>
      </c>
      <c r="C13" s="2">
        <v>100</v>
      </c>
      <c r="D13" s="2" t="s">
        <v>22</v>
      </c>
      <c r="E13" s="2" t="s">
        <v>23</v>
      </c>
      <c r="F13" s="2"/>
    </row>
    <row r="14" spans="1:7" x14ac:dyDescent="0.25">
      <c r="A14" s="2" t="s">
        <v>24</v>
      </c>
      <c r="B14" s="2">
        <v>20</v>
      </c>
      <c r="C14" s="2">
        <v>60</v>
      </c>
      <c r="D14" s="2" t="s">
        <v>22</v>
      </c>
      <c r="E14" s="2" t="s">
        <v>23</v>
      </c>
      <c r="F14" s="2"/>
    </row>
    <row r="15" spans="1:7" ht="25.5" x14ac:dyDescent="0.25">
      <c r="A15" s="2" t="s">
        <v>25</v>
      </c>
      <c r="B15" s="2">
        <v>2</v>
      </c>
      <c r="C15" s="2">
        <v>25</v>
      </c>
      <c r="D15" s="2" t="s">
        <v>22</v>
      </c>
      <c r="E15" s="2" t="s">
        <v>23</v>
      </c>
      <c r="F15" s="2"/>
    </row>
    <row r="16" spans="1:7" x14ac:dyDescent="0.25">
      <c r="A16" s="2" t="s">
        <v>26</v>
      </c>
      <c r="B16" s="2">
        <v>40</v>
      </c>
      <c r="C16" s="2">
        <v>500</v>
      </c>
      <c r="D16" s="2" t="s">
        <v>22</v>
      </c>
      <c r="E16" s="2" t="s">
        <v>23</v>
      </c>
      <c r="F16" s="2"/>
    </row>
    <row r="17" spans="1:6" x14ac:dyDescent="0.25">
      <c r="A17" s="2" t="s">
        <v>27</v>
      </c>
      <c r="B17" s="2">
        <v>0.5</v>
      </c>
      <c r="C17" s="2">
        <v>30</v>
      </c>
      <c r="D17" s="2" t="s">
        <v>22</v>
      </c>
      <c r="E17" s="2" t="s">
        <v>23</v>
      </c>
      <c r="F17" s="2"/>
    </row>
    <row r="18" spans="1:6" x14ac:dyDescent="0.25">
      <c r="A18" s="2" t="s">
        <v>28</v>
      </c>
      <c r="B18" s="2">
        <v>60</v>
      </c>
      <c r="C18" s="2">
        <v>900</v>
      </c>
      <c r="D18" s="2" t="s">
        <v>22</v>
      </c>
      <c r="E18" s="2" t="s">
        <v>23</v>
      </c>
      <c r="F18" s="2"/>
    </row>
    <row r="19" spans="1:6" x14ac:dyDescent="0.25">
      <c r="A19" s="2" t="s">
        <v>29</v>
      </c>
      <c r="B19" s="2">
        <v>1.5</v>
      </c>
      <c r="C19" s="2">
        <v>3.5</v>
      </c>
      <c r="D19" s="2" t="s">
        <v>22</v>
      </c>
      <c r="E19" s="2" t="s">
        <v>23</v>
      </c>
      <c r="F19" s="2"/>
    </row>
    <row r="20" spans="1:6" x14ac:dyDescent="0.25">
      <c r="A20" s="2" t="s">
        <v>30</v>
      </c>
      <c r="B20" s="2">
        <v>2</v>
      </c>
      <c r="C20" s="2">
        <v>7</v>
      </c>
      <c r="D20" s="2" t="s">
        <v>22</v>
      </c>
      <c r="E20" s="2" t="s">
        <v>23</v>
      </c>
      <c r="F20" s="2"/>
    </row>
    <row r="21" spans="1:6" x14ac:dyDescent="0.25">
      <c r="A21" s="2" t="s">
        <v>31</v>
      </c>
      <c r="B21" s="2">
        <v>110</v>
      </c>
      <c r="C21" s="2">
        <v>170</v>
      </c>
      <c r="D21" s="2" t="s">
        <v>22</v>
      </c>
      <c r="E21" s="2" t="s">
        <v>23</v>
      </c>
      <c r="F21" s="2"/>
    </row>
    <row r="22" spans="1:6" x14ac:dyDescent="0.25">
      <c r="A22" s="2" t="s">
        <v>32</v>
      </c>
      <c r="B22" s="2">
        <v>0.5</v>
      </c>
      <c r="C22" s="2">
        <v>5</v>
      </c>
      <c r="D22" s="2" t="s">
        <v>22</v>
      </c>
      <c r="E22" s="2" t="s">
        <v>23</v>
      </c>
      <c r="F22" s="2"/>
    </row>
    <row r="23" spans="1:6" x14ac:dyDescent="0.25">
      <c r="A23" s="2" t="s">
        <v>33</v>
      </c>
      <c r="B23" s="2" t="s">
        <v>23</v>
      </c>
      <c r="C23" s="2">
        <v>70</v>
      </c>
      <c r="D23" s="2" t="s">
        <v>23</v>
      </c>
      <c r="E23" s="2" t="s">
        <v>22</v>
      </c>
      <c r="F23" s="2"/>
    </row>
    <row r="24" spans="1:6" x14ac:dyDescent="0.25">
      <c r="A24" s="2" t="s">
        <v>34</v>
      </c>
      <c r="B24" s="2" t="s">
        <v>23</v>
      </c>
      <c r="C24" s="2">
        <v>400</v>
      </c>
      <c r="D24" s="2" t="s">
        <v>23</v>
      </c>
      <c r="E24" s="2" t="s">
        <v>22</v>
      </c>
      <c r="F24" s="2"/>
    </row>
    <row r="25" spans="1:6" x14ac:dyDescent="0.25">
      <c r="A25" s="2" t="s">
        <v>35</v>
      </c>
      <c r="B25" s="2" t="s">
        <v>23</v>
      </c>
      <c r="C25" s="2">
        <v>400</v>
      </c>
      <c r="D25" s="2" t="s">
        <v>23</v>
      </c>
      <c r="E25" s="2" t="s">
        <v>22</v>
      </c>
      <c r="F25" s="2"/>
    </row>
    <row r="26" spans="1:6" x14ac:dyDescent="0.25">
      <c r="A26" s="2" t="s">
        <v>36</v>
      </c>
      <c r="B26" s="2">
        <v>50</v>
      </c>
      <c r="C26" s="2">
        <v>2000</v>
      </c>
      <c r="D26" s="2" t="s">
        <v>23</v>
      </c>
      <c r="E26" s="2" t="s">
        <v>23</v>
      </c>
      <c r="F26" s="2"/>
    </row>
    <row r="27" spans="1:6" x14ac:dyDescent="0.25">
      <c r="A27" s="2" t="s">
        <v>37</v>
      </c>
      <c r="B27" s="2" t="s">
        <v>23</v>
      </c>
      <c r="C27" s="2">
        <v>600</v>
      </c>
      <c r="D27" s="2" t="s">
        <v>23</v>
      </c>
      <c r="E27" s="2" t="s">
        <v>22</v>
      </c>
      <c r="F27" s="2"/>
    </row>
    <row r="28" spans="1:6" x14ac:dyDescent="0.25">
      <c r="A28" s="2" t="s">
        <v>38</v>
      </c>
      <c r="B28" s="2" t="s">
        <v>23</v>
      </c>
      <c r="C28" s="2">
        <v>1000</v>
      </c>
      <c r="D28" s="2" t="s">
        <v>23</v>
      </c>
      <c r="E28" s="2" t="s">
        <v>22</v>
      </c>
      <c r="F28" s="2"/>
    </row>
    <row r="29" spans="1:6" x14ac:dyDescent="0.25">
      <c r="A29" s="2" t="s">
        <v>39</v>
      </c>
      <c r="B29" s="2" t="s">
        <v>23</v>
      </c>
      <c r="C29" s="2">
        <v>600</v>
      </c>
      <c r="D29" s="2" t="s">
        <v>23</v>
      </c>
      <c r="E29" s="2" t="s">
        <v>22</v>
      </c>
      <c r="F29" s="2"/>
    </row>
    <row r="30" spans="1:6" x14ac:dyDescent="0.25">
      <c r="A30" s="2" t="s">
        <v>40</v>
      </c>
      <c r="B30" s="2" t="s">
        <v>23</v>
      </c>
      <c r="C30" s="2">
        <v>10</v>
      </c>
      <c r="D30" s="2" t="s">
        <v>23</v>
      </c>
      <c r="E30" s="2" t="s">
        <v>22</v>
      </c>
      <c r="F30" s="2"/>
    </row>
    <row r="31" spans="1:6" x14ac:dyDescent="0.25">
      <c r="A31" s="2" t="s">
        <v>41</v>
      </c>
      <c r="B31" s="2" t="s">
        <v>23</v>
      </c>
      <c r="C31" s="2">
        <v>12</v>
      </c>
      <c r="D31" s="2" t="s">
        <v>22</v>
      </c>
      <c r="E31" s="2" t="s">
        <v>23</v>
      </c>
      <c r="F31" s="2"/>
    </row>
    <row r="32" spans="1:6" x14ac:dyDescent="0.25">
      <c r="A32" s="2" t="s">
        <v>42</v>
      </c>
      <c r="B32" s="2" t="s">
        <v>23</v>
      </c>
      <c r="C32" s="2">
        <v>15</v>
      </c>
      <c r="D32" s="2" t="s">
        <v>22</v>
      </c>
      <c r="E32" s="2" t="s">
        <v>23</v>
      </c>
      <c r="F32" s="2"/>
    </row>
    <row r="33" spans="1:7" x14ac:dyDescent="0.25">
      <c r="A33" s="2" t="s">
        <v>43</v>
      </c>
      <c r="B33" s="2" t="s">
        <v>23</v>
      </c>
      <c r="C33" s="2">
        <v>200</v>
      </c>
      <c r="D33" s="2" t="s">
        <v>22</v>
      </c>
      <c r="E33" s="2" t="s">
        <v>23</v>
      </c>
      <c r="F33" s="2"/>
    </row>
    <row r="34" spans="1:7" x14ac:dyDescent="0.25">
      <c r="A34" s="2" t="s">
        <v>44</v>
      </c>
      <c r="B34" s="2" t="s">
        <v>23</v>
      </c>
      <c r="C34" s="2">
        <v>100</v>
      </c>
      <c r="D34" s="2" t="s">
        <v>23</v>
      </c>
      <c r="E34" s="2" t="s">
        <v>22</v>
      </c>
      <c r="F34" s="2"/>
    </row>
    <row r="36" spans="1:7" x14ac:dyDescent="0.25">
      <c r="A36" s="6" t="s">
        <v>45</v>
      </c>
      <c r="B36" s="7"/>
      <c r="C36" s="7"/>
      <c r="D36" s="7"/>
      <c r="E36" s="7"/>
      <c r="F36" s="7"/>
      <c r="G36" s="7"/>
    </row>
    <row r="37" spans="1:7" x14ac:dyDescent="0.25">
      <c r="A37" s="1" t="s">
        <v>46</v>
      </c>
      <c r="B37" s="1" t="s">
        <v>47</v>
      </c>
      <c r="C37" s="1" t="s">
        <v>7</v>
      </c>
    </row>
    <row r="38" spans="1:7" ht="89.25" x14ac:dyDescent="0.25">
      <c r="A38" s="2" t="s">
        <v>48</v>
      </c>
      <c r="B38" s="2" t="s">
        <v>49</v>
      </c>
      <c r="C38" s="2" t="s">
        <v>10</v>
      </c>
    </row>
    <row r="39" spans="1:7" ht="25.5" x14ac:dyDescent="0.25">
      <c r="A39" s="2" t="s">
        <v>50</v>
      </c>
      <c r="B39" s="2" t="s">
        <v>51</v>
      </c>
      <c r="C39" s="2" t="s">
        <v>52</v>
      </c>
    </row>
    <row r="40" spans="1:7" ht="25.5" x14ac:dyDescent="0.25">
      <c r="A40" s="2" t="s">
        <v>53</v>
      </c>
      <c r="B40" s="2" t="s">
        <v>54</v>
      </c>
      <c r="C40" s="2" t="s">
        <v>10</v>
      </c>
    </row>
    <row r="41" spans="1:7" ht="89.25" x14ac:dyDescent="0.25">
      <c r="A41" s="2" t="s">
        <v>55</v>
      </c>
      <c r="B41" s="2" t="s">
        <v>56</v>
      </c>
      <c r="C41" s="2" t="s">
        <v>10</v>
      </c>
    </row>
  </sheetData>
  <mergeCells count="5">
    <mergeCell ref="A36:G36"/>
    <mergeCell ref="A1:G1"/>
    <mergeCell ref="A4:G4"/>
    <mergeCell ref="A2:G2"/>
    <mergeCell ref="A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workbookViewId="0">
      <pane ySplit="4" topLeftCell="A47" activePane="bottomLeft" state="frozen"/>
      <selection pane="bottomLeft" activeCell="I69" sqref="I69"/>
    </sheetView>
  </sheetViews>
  <sheetFormatPr defaultRowHeight="15" x14ac:dyDescent="0.25"/>
  <cols>
    <col min="1" max="1" width="6" customWidth="1"/>
    <col min="2" max="2" width="38" customWidth="1"/>
    <col min="3" max="4" width="12" customWidth="1"/>
    <col min="5" max="9" width="16" customWidth="1"/>
    <col min="10" max="10" width="12" customWidth="1"/>
    <col min="11" max="11" width="44" customWidth="1"/>
  </cols>
  <sheetData>
    <row r="1" spans="1:11" ht="16.5" x14ac:dyDescent="0.25">
      <c r="A1" s="8" t="s">
        <v>57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39.950000000000003" customHeight="1" x14ac:dyDescent="0.25">
      <c r="A2" s="9" t="s">
        <v>58</v>
      </c>
      <c r="B2" s="7"/>
      <c r="C2" s="7"/>
      <c r="D2" s="7"/>
      <c r="E2" s="7"/>
      <c r="F2" s="7"/>
      <c r="G2" s="7"/>
      <c r="H2" s="7"/>
      <c r="I2" s="7"/>
      <c r="J2" s="7"/>
      <c r="K2" s="7"/>
    </row>
    <row r="4" spans="1:11" ht="38.25" x14ac:dyDescent="0.25">
      <c r="A4" s="1" t="s">
        <v>59</v>
      </c>
      <c r="B4" s="1" t="s">
        <v>60</v>
      </c>
      <c r="C4" s="1" t="s">
        <v>61</v>
      </c>
      <c r="D4" s="1" t="s">
        <v>62</v>
      </c>
      <c r="E4" s="1" t="s">
        <v>63</v>
      </c>
      <c r="F4" s="1" t="s">
        <v>64</v>
      </c>
      <c r="G4" s="1" t="s">
        <v>65</v>
      </c>
      <c r="H4" s="1" t="s">
        <v>66</v>
      </c>
      <c r="I4" s="1" t="s">
        <v>67</v>
      </c>
      <c r="J4" s="1" t="s">
        <v>68</v>
      </c>
      <c r="K4" s="1" t="s">
        <v>8</v>
      </c>
    </row>
    <row r="5" spans="1:11" x14ac:dyDescent="0.25">
      <c r="A5" s="3">
        <v>39</v>
      </c>
      <c r="B5" s="3" t="s">
        <v>69</v>
      </c>
      <c r="C5" s="3" t="s">
        <v>70</v>
      </c>
      <c r="D5" s="3" t="s">
        <v>71</v>
      </c>
      <c r="E5" s="2" t="s">
        <v>23</v>
      </c>
      <c r="F5" s="2">
        <v>400</v>
      </c>
      <c r="G5" s="2" t="s">
        <v>72</v>
      </c>
      <c r="H5" s="4">
        <v>0</v>
      </c>
      <c r="I5" s="4">
        <v>4000</v>
      </c>
      <c r="J5" s="3" t="s">
        <v>73</v>
      </c>
      <c r="K5" s="3"/>
    </row>
    <row r="6" spans="1:11" x14ac:dyDescent="0.25">
      <c r="A6" s="3">
        <v>35</v>
      </c>
      <c r="B6" s="3" t="s">
        <v>74</v>
      </c>
      <c r="C6" s="3" t="s">
        <v>70</v>
      </c>
      <c r="D6" s="3" t="s">
        <v>15</v>
      </c>
      <c r="E6" s="2">
        <v>20</v>
      </c>
      <c r="F6" s="2">
        <v>60</v>
      </c>
      <c r="G6" s="2" t="s">
        <v>75</v>
      </c>
      <c r="H6" s="4">
        <v>2</v>
      </c>
      <c r="I6" s="4">
        <v>60</v>
      </c>
      <c r="J6" s="3" t="s">
        <v>73</v>
      </c>
      <c r="K6" s="3"/>
    </row>
    <row r="7" spans="1:11" x14ac:dyDescent="0.25">
      <c r="A7" s="3">
        <v>56</v>
      </c>
      <c r="B7" s="3" t="s">
        <v>76</v>
      </c>
      <c r="C7" s="3" t="s">
        <v>70</v>
      </c>
      <c r="D7" s="3" t="s">
        <v>71</v>
      </c>
      <c r="E7" s="2" t="s">
        <v>23</v>
      </c>
      <c r="F7" s="2">
        <v>600</v>
      </c>
      <c r="G7" s="2" t="s">
        <v>72</v>
      </c>
      <c r="H7" s="4">
        <v>0</v>
      </c>
      <c r="I7" s="4">
        <v>1200</v>
      </c>
      <c r="J7" s="3" t="s">
        <v>73</v>
      </c>
      <c r="K7" s="3"/>
    </row>
    <row r="8" spans="1:11" x14ac:dyDescent="0.25">
      <c r="A8" s="3">
        <v>57</v>
      </c>
      <c r="B8" s="3" t="s">
        <v>77</v>
      </c>
      <c r="C8" s="3" t="s">
        <v>70</v>
      </c>
      <c r="D8" s="3" t="s">
        <v>71</v>
      </c>
      <c r="E8" s="2" t="s">
        <v>23</v>
      </c>
      <c r="F8" s="2">
        <v>600</v>
      </c>
      <c r="G8" s="2" t="s">
        <v>72</v>
      </c>
      <c r="H8" s="4">
        <v>0</v>
      </c>
      <c r="I8" s="4">
        <v>1200</v>
      </c>
      <c r="J8" s="3" t="s">
        <v>73</v>
      </c>
      <c r="K8" s="3"/>
    </row>
    <row r="9" spans="1:11" x14ac:dyDescent="0.25">
      <c r="A9" s="3">
        <v>40</v>
      </c>
      <c r="B9" s="3" t="s">
        <v>78</v>
      </c>
      <c r="C9" s="3" t="s">
        <v>70</v>
      </c>
      <c r="D9" s="3" t="s">
        <v>71</v>
      </c>
      <c r="E9" s="2" t="s">
        <v>23</v>
      </c>
      <c r="F9" s="2">
        <v>400</v>
      </c>
      <c r="G9" s="2" t="s">
        <v>72</v>
      </c>
      <c r="H9" s="4">
        <v>0</v>
      </c>
      <c r="I9" s="4">
        <v>4000</v>
      </c>
      <c r="J9" s="3" t="s">
        <v>73</v>
      </c>
      <c r="K9" s="3"/>
    </row>
    <row r="10" spans="1:11" x14ac:dyDescent="0.25">
      <c r="A10" s="3">
        <v>46</v>
      </c>
      <c r="B10" s="3" t="s">
        <v>79</v>
      </c>
      <c r="C10" s="3" t="s">
        <v>70</v>
      </c>
      <c r="D10" s="3" t="s">
        <v>71</v>
      </c>
      <c r="E10" s="2" t="s">
        <v>23</v>
      </c>
      <c r="F10" s="2">
        <v>600</v>
      </c>
      <c r="G10" s="2" t="s">
        <v>72</v>
      </c>
      <c r="H10" s="4">
        <v>0</v>
      </c>
      <c r="I10" s="4">
        <v>1200</v>
      </c>
      <c r="J10" s="3" t="s">
        <v>73</v>
      </c>
      <c r="K10" s="3"/>
    </row>
    <row r="11" spans="1:11" x14ac:dyDescent="0.25">
      <c r="A11" s="3">
        <v>37</v>
      </c>
      <c r="B11" s="3" t="s">
        <v>80</v>
      </c>
      <c r="C11" s="3" t="s">
        <v>70</v>
      </c>
      <c r="D11" s="3" t="s">
        <v>81</v>
      </c>
      <c r="E11" s="2">
        <v>2</v>
      </c>
      <c r="F11" s="2">
        <v>25</v>
      </c>
      <c r="G11" s="2" t="s">
        <v>75</v>
      </c>
      <c r="H11" s="4">
        <v>0.3</v>
      </c>
      <c r="I11" s="4">
        <v>41.6</v>
      </c>
      <c r="J11" s="3" t="s">
        <v>73</v>
      </c>
      <c r="K11" s="3"/>
    </row>
    <row r="12" spans="1:11" ht="25.5" x14ac:dyDescent="0.25">
      <c r="A12" s="3">
        <v>38</v>
      </c>
      <c r="B12" s="3" t="s">
        <v>82</v>
      </c>
      <c r="C12" s="3" t="s">
        <v>70</v>
      </c>
      <c r="D12" s="3" t="s">
        <v>81</v>
      </c>
      <c r="E12" s="5" t="s">
        <v>23</v>
      </c>
      <c r="F12" s="5" t="s">
        <v>23</v>
      </c>
      <c r="G12" s="5" t="s">
        <v>23</v>
      </c>
      <c r="H12" s="4">
        <v>0.3</v>
      </c>
      <c r="I12" s="4">
        <v>41.6</v>
      </c>
      <c r="J12" s="3" t="s">
        <v>73</v>
      </c>
      <c r="K12" s="3" t="s">
        <v>83</v>
      </c>
    </row>
    <row r="13" spans="1:11" x14ac:dyDescent="0.25">
      <c r="A13" s="3">
        <v>53</v>
      </c>
      <c r="B13" s="3" t="s">
        <v>84</v>
      </c>
      <c r="C13" s="3" t="s">
        <v>70</v>
      </c>
      <c r="D13" s="3" t="s">
        <v>71</v>
      </c>
      <c r="E13" s="2" t="s">
        <v>23</v>
      </c>
      <c r="F13" s="2">
        <v>1000</v>
      </c>
      <c r="G13" s="2" t="s">
        <v>72</v>
      </c>
      <c r="H13" s="4">
        <v>0</v>
      </c>
      <c r="I13" s="4">
        <v>1200</v>
      </c>
      <c r="J13" s="3" t="s">
        <v>73</v>
      </c>
      <c r="K13" s="3"/>
    </row>
    <row r="14" spans="1:11" x14ac:dyDescent="0.25">
      <c r="A14" s="3">
        <v>48</v>
      </c>
      <c r="B14" s="3" t="s">
        <v>85</v>
      </c>
      <c r="C14" s="3" t="s">
        <v>70</v>
      </c>
      <c r="D14" s="3" t="s">
        <v>81</v>
      </c>
      <c r="E14" s="2">
        <v>2</v>
      </c>
      <c r="F14" s="2">
        <v>7</v>
      </c>
      <c r="G14" s="2" t="s">
        <v>75</v>
      </c>
      <c r="H14" s="4">
        <v>1.5</v>
      </c>
      <c r="I14" s="4">
        <v>10</v>
      </c>
      <c r="J14" s="3" t="s">
        <v>73</v>
      </c>
      <c r="K14" s="3"/>
    </row>
    <row r="15" spans="1:11" x14ac:dyDescent="0.25">
      <c r="A15" s="3">
        <v>47</v>
      </c>
      <c r="B15" s="3" t="s">
        <v>86</v>
      </c>
      <c r="C15" s="3" t="s">
        <v>70</v>
      </c>
      <c r="D15" s="3" t="s">
        <v>81</v>
      </c>
      <c r="E15" s="2">
        <v>1.5</v>
      </c>
      <c r="F15" s="2">
        <v>3.5</v>
      </c>
      <c r="G15" s="2" t="s">
        <v>75</v>
      </c>
      <c r="H15" s="4">
        <v>1</v>
      </c>
      <c r="I15" s="4">
        <v>4</v>
      </c>
      <c r="J15" s="3" t="s">
        <v>73</v>
      </c>
      <c r="K15" s="3"/>
    </row>
    <row r="16" spans="1:11" x14ac:dyDescent="0.25">
      <c r="A16" s="3">
        <v>41</v>
      </c>
      <c r="B16" s="3" t="s">
        <v>87</v>
      </c>
      <c r="C16" s="3" t="s">
        <v>70</v>
      </c>
      <c r="D16" s="3" t="s">
        <v>88</v>
      </c>
      <c r="E16" s="2">
        <v>40</v>
      </c>
      <c r="F16" s="2">
        <v>500</v>
      </c>
      <c r="G16" s="2" t="s">
        <v>75</v>
      </c>
      <c r="H16" s="4">
        <v>20</v>
      </c>
      <c r="I16" s="4">
        <v>2800</v>
      </c>
      <c r="J16" s="3" t="s">
        <v>73</v>
      </c>
      <c r="K16" s="3"/>
    </row>
    <row r="17" spans="1:11" x14ac:dyDescent="0.25">
      <c r="A17" s="3">
        <v>45</v>
      </c>
      <c r="B17" s="3" t="s">
        <v>89</v>
      </c>
      <c r="C17" s="3" t="s">
        <v>70</v>
      </c>
      <c r="D17" s="3" t="s">
        <v>71</v>
      </c>
      <c r="E17" s="2">
        <v>50</v>
      </c>
      <c r="F17" s="2">
        <v>2000</v>
      </c>
      <c r="G17" s="2" t="s">
        <v>23</v>
      </c>
      <c r="H17" s="4">
        <v>0</v>
      </c>
      <c r="I17" s="4">
        <v>1000</v>
      </c>
      <c r="J17" s="3" t="s">
        <v>73</v>
      </c>
      <c r="K17" s="3"/>
    </row>
    <row r="18" spans="1:11" x14ac:dyDescent="0.25">
      <c r="A18" s="3">
        <v>51</v>
      </c>
      <c r="B18" s="3" t="s">
        <v>90</v>
      </c>
      <c r="C18" s="3" t="s">
        <v>70</v>
      </c>
      <c r="D18" s="3" t="s">
        <v>81</v>
      </c>
      <c r="E18" s="2">
        <v>0.5</v>
      </c>
      <c r="F18" s="2">
        <v>5</v>
      </c>
      <c r="G18" s="2" t="s">
        <v>75</v>
      </c>
      <c r="H18" s="4">
        <v>0.1</v>
      </c>
      <c r="I18" s="4">
        <v>5</v>
      </c>
      <c r="J18" s="3" t="s">
        <v>73</v>
      </c>
      <c r="K18" s="3"/>
    </row>
    <row r="19" spans="1:11" x14ac:dyDescent="0.25">
      <c r="A19" s="3">
        <v>42</v>
      </c>
      <c r="B19" s="3" t="s">
        <v>91</v>
      </c>
      <c r="C19" s="3" t="s">
        <v>70</v>
      </c>
      <c r="D19" s="3" t="s">
        <v>81</v>
      </c>
      <c r="E19" s="2">
        <v>0.5</v>
      </c>
      <c r="F19" s="2">
        <v>30</v>
      </c>
      <c r="G19" s="2" t="s">
        <v>75</v>
      </c>
      <c r="H19" s="4">
        <v>0.5</v>
      </c>
      <c r="I19" s="4">
        <v>50</v>
      </c>
      <c r="J19" s="3" t="s">
        <v>73</v>
      </c>
      <c r="K19" s="3"/>
    </row>
    <row r="20" spans="1:11" x14ac:dyDescent="0.25">
      <c r="A20" s="3">
        <v>52</v>
      </c>
      <c r="B20" s="3" t="s">
        <v>92</v>
      </c>
      <c r="C20" s="3" t="s">
        <v>70</v>
      </c>
      <c r="D20" s="3" t="s">
        <v>81</v>
      </c>
      <c r="E20" s="2">
        <v>110</v>
      </c>
      <c r="F20" s="2">
        <v>170</v>
      </c>
      <c r="G20" s="2" t="s">
        <v>75</v>
      </c>
      <c r="H20" s="4">
        <v>100</v>
      </c>
      <c r="I20" s="4">
        <v>190</v>
      </c>
      <c r="J20" s="3" t="s">
        <v>73</v>
      </c>
      <c r="K20" s="3"/>
    </row>
    <row r="21" spans="1:11" x14ac:dyDescent="0.25">
      <c r="A21" s="3">
        <v>50</v>
      </c>
      <c r="B21" s="3" t="s">
        <v>93</v>
      </c>
      <c r="C21" s="3" t="s">
        <v>70</v>
      </c>
      <c r="D21" s="3" t="s">
        <v>88</v>
      </c>
      <c r="E21" s="2">
        <v>60</v>
      </c>
      <c r="F21" s="2">
        <v>900</v>
      </c>
      <c r="G21" s="2" t="s">
        <v>75</v>
      </c>
      <c r="H21" s="4">
        <v>30</v>
      </c>
      <c r="I21" s="4">
        <v>1500</v>
      </c>
      <c r="J21" s="3" t="s">
        <v>73</v>
      </c>
      <c r="K21" s="3"/>
    </row>
    <row r="22" spans="1:11" x14ac:dyDescent="0.25">
      <c r="A22" s="3">
        <v>49</v>
      </c>
      <c r="B22" s="3" t="s">
        <v>94</v>
      </c>
      <c r="C22" s="3" t="s">
        <v>70</v>
      </c>
      <c r="D22" s="3" t="s">
        <v>88</v>
      </c>
      <c r="E22" s="2" t="s">
        <v>23</v>
      </c>
      <c r="F22" s="2">
        <v>70</v>
      </c>
      <c r="G22" s="2" t="s">
        <v>72</v>
      </c>
      <c r="H22" s="4">
        <v>0</v>
      </c>
      <c r="I22" s="4">
        <v>100</v>
      </c>
      <c r="J22" s="3" t="s">
        <v>73</v>
      </c>
      <c r="K22" s="3"/>
    </row>
    <row r="23" spans="1:11" x14ac:dyDescent="0.25">
      <c r="A23" s="3">
        <v>54</v>
      </c>
      <c r="B23" s="3" t="s">
        <v>40</v>
      </c>
      <c r="C23" s="3" t="s">
        <v>70</v>
      </c>
      <c r="D23" s="3" t="s">
        <v>95</v>
      </c>
      <c r="E23" s="2" t="s">
        <v>23</v>
      </c>
      <c r="F23" s="2">
        <v>10</v>
      </c>
      <c r="G23" s="2" t="s">
        <v>72</v>
      </c>
      <c r="H23" s="4">
        <v>0</v>
      </c>
      <c r="I23" s="4">
        <v>20</v>
      </c>
      <c r="J23" s="3" t="s">
        <v>73</v>
      </c>
      <c r="K23" s="3"/>
    </row>
    <row r="24" spans="1:11" x14ac:dyDescent="0.25">
      <c r="A24" s="3">
        <v>44</v>
      </c>
      <c r="B24" s="3" t="s">
        <v>96</v>
      </c>
      <c r="C24" s="3" t="s">
        <v>70</v>
      </c>
      <c r="D24" s="3" t="s">
        <v>81</v>
      </c>
      <c r="E24" s="2" t="s">
        <v>23</v>
      </c>
      <c r="F24" s="2">
        <v>15</v>
      </c>
      <c r="G24" s="2" t="s">
        <v>75</v>
      </c>
      <c r="H24" s="4">
        <v>0.1</v>
      </c>
      <c r="I24" s="4">
        <v>11.4</v>
      </c>
      <c r="J24" s="3" t="s">
        <v>73</v>
      </c>
      <c r="K24" s="3"/>
    </row>
    <row r="25" spans="1:11" x14ac:dyDescent="0.25">
      <c r="A25" s="3">
        <v>36</v>
      </c>
      <c r="B25" s="3" t="s">
        <v>21</v>
      </c>
      <c r="C25" s="3" t="s">
        <v>70</v>
      </c>
      <c r="D25" s="3" t="s">
        <v>15</v>
      </c>
      <c r="E25" s="2">
        <v>40</v>
      </c>
      <c r="F25" s="2">
        <v>100</v>
      </c>
      <c r="G25" s="2" t="s">
        <v>75</v>
      </c>
      <c r="H25" s="4">
        <v>10</v>
      </c>
      <c r="I25" s="4">
        <v>150</v>
      </c>
      <c r="J25" s="3" t="s">
        <v>73</v>
      </c>
      <c r="K25" s="3"/>
    </row>
    <row r="26" spans="1:11" x14ac:dyDescent="0.25">
      <c r="A26" s="3">
        <v>43</v>
      </c>
      <c r="B26" s="3" t="s">
        <v>97</v>
      </c>
      <c r="C26" s="3" t="s">
        <v>70</v>
      </c>
      <c r="D26" s="3" t="s">
        <v>81</v>
      </c>
      <c r="E26" s="2" t="s">
        <v>23</v>
      </c>
      <c r="F26" s="2">
        <v>12</v>
      </c>
      <c r="G26" s="2" t="s">
        <v>75</v>
      </c>
      <c r="H26" s="4">
        <v>0.5</v>
      </c>
      <c r="I26" s="4">
        <v>20</v>
      </c>
      <c r="J26" s="3" t="s">
        <v>73</v>
      </c>
      <c r="K26" s="3"/>
    </row>
    <row r="27" spans="1:11" x14ac:dyDescent="0.25">
      <c r="A27" s="3">
        <v>123</v>
      </c>
      <c r="B27" s="3" t="s">
        <v>98</v>
      </c>
      <c r="C27" s="3" t="s">
        <v>70</v>
      </c>
      <c r="D27" s="3" t="s">
        <v>81</v>
      </c>
      <c r="E27" s="5" t="s">
        <v>23</v>
      </c>
      <c r="F27" s="5" t="s">
        <v>23</v>
      </c>
      <c r="G27" s="5" t="s">
        <v>23</v>
      </c>
      <c r="H27" s="4">
        <v>0.2</v>
      </c>
      <c r="I27" s="4">
        <v>10</v>
      </c>
      <c r="J27" s="3" t="s">
        <v>73</v>
      </c>
      <c r="K27" s="3"/>
    </row>
    <row r="28" spans="1:11" x14ac:dyDescent="0.25">
      <c r="A28" s="3">
        <v>124</v>
      </c>
      <c r="B28" s="3" t="s">
        <v>99</v>
      </c>
      <c r="C28" s="3" t="s">
        <v>70</v>
      </c>
      <c r="D28" s="3" t="s">
        <v>81</v>
      </c>
      <c r="E28" s="5" t="s">
        <v>23</v>
      </c>
      <c r="F28" s="5" t="s">
        <v>23</v>
      </c>
      <c r="G28" s="5" t="s">
        <v>23</v>
      </c>
      <c r="H28" s="4">
        <v>0.1</v>
      </c>
      <c r="I28" s="4">
        <v>5</v>
      </c>
      <c r="J28" s="3" t="s">
        <v>73</v>
      </c>
      <c r="K28" s="3"/>
    </row>
    <row r="29" spans="1:11" x14ac:dyDescent="0.25">
      <c r="A29" s="3">
        <v>128</v>
      </c>
      <c r="B29" s="3" t="s">
        <v>100</v>
      </c>
      <c r="C29" s="3" t="s">
        <v>70</v>
      </c>
      <c r="D29" s="3" t="s">
        <v>71</v>
      </c>
      <c r="E29" s="5" t="s">
        <v>23</v>
      </c>
      <c r="F29" s="5" t="s">
        <v>23</v>
      </c>
      <c r="G29" s="5" t="s">
        <v>23</v>
      </c>
      <c r="H29" s="4">
        <v>300</v>
      </c>
      <c r="I29" s="4">
        <v>19000</v>
      </c>
      <c r="J29" s="3" t="s">
        <v>101</v>
      </c>
      <c r="K29" s="3"/>
    </row>
    <row r="30" spans="1:11" x14ac:dyDescent="0.25">
      <c r="A30" s="3">
        <v>76</v>
      </c>
      <c r="B30" s="3" t="s">
        <v>102</v>
      </c>
      <c r="C30" s="3" t="s">
        <v>103</v>
      </c>
      <c r="D30" s="3" t="s">
        <v>104</v>
      </c>
      <c r="E30" s="5" t="s">
        <v>23</v>
      </c>
      <c r="F30" s="5" t="s">
        <v>23</v>
      </c>
      <c r="G30" s="5" t="s">
        <v>23</v>
      </c>
      <c r="H30" s="4">
        <v>10</v>
      </c>
      <c r="I30" s="4">
        <v>120</v>
      </c>
      <c r="J30" s="3" t="s">
        <v>73</v>
      </c>
      <c r="K30" s="3"/>
    </row>
    <row r="31" spans="1:11" x14ac:dyDescent="0.25">
      <c r="A31" s="3">
        <v>75</v>
      </c>
      <c r="B31" s="3" t="s">
        <v>105</v>
      </c>
      <c r="C31" s="3" t="s">
        <v>103</v>
      </c>
      <c r="D31" s="3" t="s">
        <v>15</v>
      </c>
      <c r="E31" s="5" t="s">
        <v>23</v>
      </c>
      <c r="F31" s="5" t="s">
        <v>23</v>
      </c>
      <c r="G31" s="5" t="s">
        <v>23</v>
      </c>
      <c r="H31" s="4">
        <v>0.3</v>
      </c>
      <c r="I31" s="4">
        <v>10</v>
      </c>
      <c r="J31" s="3" t="s">
        <v>73</v>
      </c>
      <c r="K31" s="3"/>
    </row>
    <row r="32" spans="1:11" ht="25.5" x14ac:dyDescent="0.25">
      <c r="A32" s="3">
        <v>74</v>
      </c>
      <c r="B32" s="3" t="s">
        <v>106</v>
      </c>
      <c r="C32" s="3" t="s">
        <v>103</v>
      </c>
      <c r="D32" s="3" t="s">
        <v>107</v>
      </c>
      <c r="E32" s="5" t="s">
        <v>23</v>
      </c>
      <c r="F32" s="5" t="s">
        <v>23</v>
      </c>
      <c r="G32" s="5" t="s">
        <v>23</v>
      </c>
      <c r="H32" s="4">
        <v>8</v>
      </c>
      <c r="I32" s="4">
        <v>120</v>
      </c>
      <c r="J32" s="3" t="s">
        <v>73</v>
      </c>
      <c r="K32" s="3" t="s">
        <v>108</v>
      </c>
    </row>
    <row r="33" spans="1:11" x14ac:dyDescent="0.25">
      <c r="A33" s="3">
        <v>77</v>
      </c>
      <c r="B33" s="3" t="s">
        <v>109</v>
      </c>
      <c r="C33" s="3" t="s">
        <v>103</v>
      </c>
      <c r="D33" s="3" t="s">
        <v>104</v>
      </c>
      <c r="E33" s="5" t="s">
        <v>23</v>
      </c>
      <c r="F33" s="5" t="s">
        <v>23</v>
      </c>
      <c r="G33" s="5" t="s">
        <v>23</v>
      </c>
      <c r="H33" s="4">
        <v>9</v>
      </c>
      <c r="I33" s="4">
        <v>60</v>
      </c>
      <c r="J33" s="3" t="s">
        <v>73</v>
      </c>
      <c r="K33" s="3"/>
    </row>
    <row r="34" spans="1:11" x14ac:dyDescent="0.25">
      <c r="A34" s="3">
        <v>30</v>
      </c>
      <c r="B34" s="3" t="s">
        <v>110</v>
      </c>
      <c r="C34" s="3" t="s">
        <v>103</v>
      </c>
      <c r="D34" s="3" t="s">
        <v>111</v>
      </c>
      <c r="E34" s="5" t="s">
        <v>23</v>
      </c>
      <c r="F34" s="5" t="s">
        <v>23</v>
      </c>
      <c r="G34" s="5" t="s">
        <v>23</v>
      </c>
      <c r="H34" s="4">
        <v>1</v>
      </c>
      <c r="I34" s="4">
        <v>30</v>
      </c>
      <c r="J34" s="3" t="s">
        <v>73</v>
      </c>
      <c r="K34" s="3"/>
    </row>
    <row r="35" spans="1:11" x14ac:dyDescent="0.25">
      <c r="A35" s="3">
        <v>29</v>
      </c>
      <c r="B35" s="3" t="s">
        <v>112</v>
      </c>
      <c r="C35" s="3" t="s">
        <v>103</v>
      </c>
      <c r="D35" s="3" t="s">
        <v>113</v>
      </c>
      <c r="E35" s="5" t="s">
        <v>23</v>
      </c>
      <c r="F35" s="5" t="s">
        <v>23</v>
      </c>
      <c r="G35" s="5" t="s">
        <v>23</v>
      </c>
      <c r="H35" s="4">
        <v>0</v>
      </c>
      <c r="I35" s="4">
        <v>140</v>
      </c>
      <c r="J35" s="3" t="s">
        <v>101</v>
      </c>
      <c r="K35" s="3"/>
    </row>
    <row r="36" spans="1:11" x14ac:dyDescent="0.25">
      <c r="A36" s="3">
        <v>61</v>
      </c>
      <c r="B36" s="3" t="s">
        <v>114</v>
      </c>
      <c r="C36" s="3" t="s">
        <v>115</v>
      </c>
      <c r="D36" s="3" t="s">
        <v>116</v>
      </c>
      <c r="E36" s="5" t="s">
        <v>23</v>
      </c>
      <c r="F36" s="5" t="s">
        <v>23</v>
      </c>
      <c r="G36" s="5" t="s">
        <v>23</v>
      </c>
      <c r="H36" s="4">
        <v>0</v>
      </c>
      <c r="I36" s="4">
        <v>1300</v>
      </c>
      <c r="J36" s="3" t="s">
        <v>73</v>
      </c>
      <c r="K36" s="3"/>
    </row>
    <row r="37" spans="1:11" x14ac:dyDescent="0.25">
      <c r="A37" s="3">
        <v>60</v>
      </c>
      <c r="B37" s="3" t="s">
        <v>117</v>
      </c>
      <c r="C37" s="3" t="s">
        <v>115</v>
      </c>
      <c r="D37" s="3" t="s">
        <v>118</v>
      </c>
      <c r="E37" s="5" t="s">
        <v>23</v>
      </c>
      <c r="F37" s="5" t="s">
        <v>23</v>
      </c>
      <c r="G37" s="5" t="s">
        <v>23</v>
      </c>
      <c r="H37" s="4">
        <v>0</v>
      </c>
      <c r="I37" s="4">
        <v>300</v>
      </c>
      <c r="J37" s="3" t="s">
        <v>73</v>
      </c>
      <c r="K37" s="3"/>
    </row>
    <row r="38" spans="1:11" x14ac:dyDescent="0.25">
      <c r="A38" s="3">
        <v>59</v>
      </c>
      <c r="B38" s="3" t="s">
        <v>119</v>
      </c>
      <c r="C38" s="3" t="s">
        <v>115</v>
      </c>
      <c r="D38" s="3" t="s">
        <v>116</v>
      </c>
      <c r="E38" s="5" t="s">
        <v>23</v>
      </c>
      <c r="F38" s="5" t="s">
        <v>23</v>
      </c>
      <c r="G38" s="5" t="s">
        <v>23</v>
      </c>
      <c r="H38" s="4">
        <v>0</v>
      </c>
      <c r="I38" s="4">
        <v>200</v>
      </c>
      <c r="J38" s="3" t="s">
        <v>73</v>
      </c>
      <c r="K38" s="3"/>
    </row>
    <row r="39" spans="1:11" x14ac:dyDescent="0.25">
      <c r="A39" s="3">
        <v>129</v>
      </c>
      <c r="B39" s="3" t="s">
        <v>120</v>
      </c>
      <c r="C39" s="3" t="s">
        <v>121</v>
      </c>
      <c r="D39" s="3" t="s">
        <v>122</v>
      </c>
      <c r="E39" s="5" t="s">
        <v>23</v>
      </c>
      <c r="F39" s="5" t="s">
        <v>23</v>
      </c>
      <c r="G39" s="5" t="s">
        <v>23</v>
      </c>
      <c r="H39" s="4">
        <v>0</v>
      </c>
      <c r="I39" s="4">
        <v>1000</v>
      </c>
      <c r="J39" s="3" t="s">
        <v>73</v>
      </c>
      <c r="K39" s="3"/>
    </row>
    <row r="40" spans="1:11" x14ac:dyDescent="0.25">
      <c r="A40" s="3">
        <v>99</v>
      </c>
      <c r="B40" s="3" t="s">
        <v>123</v>
      </c>
      <c r="C40" s="3" t="s">
        <v>121</v>
      </c>
      <c r="D40" s="3" t="s">
        <v>124</v>
      </c>
      <c r="E40" s="5" t="s">
        <v>23</v>
      </c>
      <c r="F40" s="5" t="s">
        <v>23</v>
      </c>
      <c r="G40" s="5" t="s">
        <v>23</v>
      </c>
      <c r="H40" s="4">
        <v>0</v>
      </c>
      <c r="I40" s="4">
        <v>15</v>
      </c>
      <c r="J40" s="3" t="s">
        <v>73</v>
      </c>
      <c r="K40" s="3" t="s">
        <v>125</v>
      </c>
    </row>
    <row r="41" spans="1:11" x14ac:dyDescent="0.25">
      <c r="A41" s="3">
        <v>109</v>
      </c>
      <c r="B41" s="3" t="s">
        <v>126</v>
      </c>
      <c r="C41" s="3" t="s">
        <v>121</v>
      </c>
      <c r="D41" s="3" t="s">
        <v>116</v>
      </c>
      <c r="E41" s="5" t="s">
        <v>23</v>
      </c>
      <c r="F41" s="5" t="s">
        <v>23</v>
      </c>
      <c r="G41" s="5" t="s">
        <v>23</v>
      </c>
      <c r="H41" s="4">
        <v>0</v>
      </c>
      <c r="I41" s="4">
        <v>1000</v>
      </c>
      <c r="J41" s="3" t="s">
        <v>73</v>
      </c>
      <c r="K41" s="3"/>
    </row>
    <row r="42" spans="1:11" x14ac:dyDescent="0.25">
      <c r="A42" s="3">
        <v>69</v>
      </c>
      <c r="B42" s="3" t="s">
        <v>127</v>
      </c>
      <c r="C42" s="3" t="s">
        <v>121</v>
      </c>
      <c r="D42" s="3" t="s">
        <v>128</v>
      </c>
      <c r="E42" s="5" t="s">
        <v>23</v>
      </c>
      <c r="F42" s="5" t="s">
        <v>23</v>
      </c>
      <c r="G42" s="5" t="s">
        <v>23</v>
      </c>
      <c r="H42" s="4">
        <v>0</v>
      </c>
      <c r="I42" s="4">
        <v>300</v>
      </c>
      <c r="J42" s="3" t="s">
        <v>73</v>
      </c>
      <c r="K42" s="3"/>
    </row>
    <row r="43" spans="1:11" x14ac:dyDescent="0.25">
      <c r="A43" s="3">
        <v>70</v>
      </c>
      <c r="B43" s="3" t="s">
        <v>129</v>
      </c>
      <c r="C43" s="3" t="s">
        <v>121</v>
      </c>
      <c r="D43" s="3" t="s">
        <v>128</v>
      </c>
      <c r="E43" s="5" t="s">
        <v>23</v>
      </c>
      <c r="F43" s="5" t="s">
        <v>23</v>
      </c>
      <c r="G43" s="5" t="s">
        <v>23</v>
      </c>
      <c r="H43" s="4">
        <v>0</v>
      </c>
      <c r="I43" s="4">
        <v>300</v>
      </c>
      <c r="J43" s="3" t="s">
        <v>73</v>
      </c>
      <c r="K43" s="3"/>
    </row>
    <row r="44" spans="1:11" x14ac:dyDescent="0.25">
      <c r="A44" s="3">
        <v>86</v>
      </c>
      <c r="B44" s="3" t="s">
        <v>130</v>
      </c>
      <c r="C44" s="3" t="s">
        <v>121</v>
      </c>
      <c r="D44" s="3" t="s">
        <v>124</v>
      </c>
      <c r="E44" s="5" t="s">
        <v>23</v>
      </c>
      <c r="F44" s="5" t="s">
        <v>23</v>
      </c>
      <c r="G44" s="5" t="s">
        <v>23</v>
      </c>
      <c r="H44" s="4">
        <v>0</v>
      </c>
      <c r="I44" s="4">
        <v>15</v>
      </c>
      <c r="J44" s="3" t="s">
        <v>73</v>
      </c>
      <c r="K44" s="3"/>
    </row>
    <row r="45" spans="1:11" x14ac:dyDescent="0.25">
      <c r="A45" s="3">
        <v>82</v>
      </c>
      <c r="B45" s="3" t="s">
        <v>131</v>
      </c>
      <c r="C45" s="3" t="s">
        <v>121</v>
      </c>
      <c r="D45" s="3" t="s">
        <v>124</v>
      </c>
      <c r="E45" s="5" t="s">
        <v>23</v>
      </c>
      <c r="F45" s="5" t="s">
        <v>23</v>
      </c>
      <c r="G45" s="5" t="s">
        <v>23</v>
      </c>
      <c r="H45" s="4">
        <v>0</v>
      </c>
      <c r="I45" s="4">
        <v>15</v>
      </c>
      <c r="J45" s="3" t="s">
        <v>73</v>
      </c>
      <c r="K45" s="3"/>
    </row>
    <row r="46" spans="1:11" x14ac:dyDescent="0.25">
      <c r="A46" s="3">
        <v>84</v>
      </c>
      <c r="B46" s="3" t="s">
        <v>132</v>
      </c>
      <c r="C46" s="3" t="s">
        <v>121</v>
      </c>
      <c r="D46" s="3" t="s">
        <v>124</v>
      </c>
      <c r="E46" s="5" t="s">
        <v>23</v>
      </c>
      <c r="F46" s="5" t="s">
        <v>23</v>
      </c>
      <c r="G46" s="5" t="s">
        <v>23</v>
      </c>
      <c r="H46" s="4">
        <v>0</v>
      </c>
      <c r="I46" s="4">
        <v>15</v>
      </c>
      <c r="J46" s="3" t="s">
        <v>73</v>
      </c>
      <c r="K46" s="3"/>
    </row>
    <row r="47" spans="1:11" x14ac:dyDescent="0.25">
      <c r="A47" s="3">
        <v>85</v>
      </c>
      <c r="B47" s="3" t="s">
        <v>133</v>
      </c>
      <c r="C47" s="3" t="s">
        <v>121</v>
      </c>
      <c r="D47" s="3" t="s">
        <v>124</v>
      </c>
      <c r="E47" s="5" t="s">
        <v>23</v>
      </c>
      <c r="F47" s="5" t="s">
        <v>23</v>
      </c>
      <c r="G47" s="5" t="s">
        <v>23</v>
      </c>
      <c r="H47" s="4">
        <v>0</v>
      </c>
      <c r="I47" s="4">
        <v>15</v>
      </c>
      <c r="J47" s="3" t="s">
        <v>73</v>
      </c>
      <c r="K47" s="3"/>
    </row>
    <row r="48" spans="1:11" x14ac:dyDescent="0.25">
      <c r="A48" s="3">
        <v>98</v>
      </c>
      <c r="B48" s="3" t="s">
        <v>134</v>
      </c>
      <c r="C48" s="3" t="s">
        <v>121</v>
      </c>
      <c r="D48" s="3" t="s">
        <v>116</v>
      </c>
      <c r="E48" s="5" t="s">
        <v>23</v>
      </c>
      <c r="F48" s="5" t="s">
        <v>23</v>
      </c>
      <c r="G48" s="5" t="s">
        <v>23</v>
      </c>
      <c r="H48" s="4">
        <v>0</v>
      </c>
      <c r="I48" s="4">
        <v>2500</v>
      </c>
      <c r="J48" s="3" t="s">
        <v>73</v>
      </c>
      <c r="K48" s="3"/>
    </row>
    <row r="49" spans="1:11" x14ac:dyDescent="0.25">
      <c r="A49" s="3">
        <v>118</v>
      </c>
      <c r="B49" s="3" t="s">
        <v>135</v>
      </c>
      <c r="C49" s="3" t="s">
        <v>121</v>
      </c>
      <c r="D49" s="3" t="s">
        <v>136</v>
      </c>
      <c r="E49" s="5" t="s">
        <v>23</v>
      </c>
      <c r="F49" s="5" t="s">
        <v>23</v>
      </c>
      <c r="G49" s="5" t="s">
        <v>23</v>
      </c>
      <c r="H49" s="4">
        <v>0</v>
      </c>
      <c r="I49" s="4">
        <v>300</v>
      </c>
      <c r="J49" s="3" t="s">
        <v>73</v>
      </c>
      <c r="K49" s="3"/>
    </row>
    <row r="50" spans="1:11" x14ac:dyDescent="0.25">
      <c r="A50" s="3">
        <v>113</v>
      </c>
      <c r="B50" s="3" t="s">
        <v>137</v>
      </c>
      <c r="C50" s="3" t="s">
        <v>121</v>
      </c>
      <c r="D50" s="3" t="s">
        <v>138</v>
      </c>
      <c r="E50" s="5" t="s">
        <v>23</v>
      </c>
      <c r="F50" s="5" t="s">
        <v>23</v>
      </c>
      <c r="G50" s="5" t="s">
        <v>23</v>
      </c>
      <c r="H50" s="4">
        <v>0</v>
      </c>
      <c r="I50" s="4">
        <v>3000</v>
      </c>
      <c r="J50" s="3" t="s">
        <v>73</v>
      </c>
      <c r="K50" s="3"/>
    </row>
    <row r="51" spans="1:11" x14ac:dyDescent="0.25">
      <c r="A51" s="3">
        <v>105</v>
      </c>
      <c r="B51" s="3" t="s">
        <v>139</v>
      </c>
      <c r="C51" s="3" t="s">
        <v>121</v>
      </c>
      <c r="D51" s="3" t="s">
        <v>140</v>
      </c>
      <c r="E51" s="5" t="s">
        <v>23</v>
      </c>
      <c r="F51" s="5" t="s">
        <v>23</v>
      </c>
      <c r="G51" s="5" t="s">
        <v>23</v>
      </c>
      <c r="H51" s="4">
        <v>0</v>
      </c>
      <c r="I51" s="4">
        <v>1500</v>
      </c>
      <c r="J51" s="3" t="s">
        <v>73</v>
      </c>
      <c r="K51" s="3"/>
    </row>
    <row r="52" spans="1:11" x14ac:dyDescent="0.25">
      <c r="A52" s="3">
        <v>111</v>
      </c>
      <c r="B52" s="3" t="s">
        <v>141</v>
      </c>
      <c r="C52" s="3" t="s">
        <v>121</v>
      </c>
      <c r="D52" s="3" t="s">
        <v>122</v>
      </c>
      <c r="E52" s="5" t="s">
        <v>23</v>
      </c>
      <c r="F52" s="5" t="s">
        <v>23</v>
      </c>
      <c r="G52" s="5" t="s">
        <v>23</v>
      </c>
      <c r="H52" s="4">
        <v>0</v>
      </c>
      <c r="I52" s="4">
        <v>200</v>
      </c>
      <c r="J52" s="3" t="s">
        <v>73</v>
      </c>
      <c r="K52" s="3"/>
    </row>
    <row r="53" spans="1:11" x14ac:dyDescent="0.25">
      <c r="A53" s="3">
        <v>90</v>
      </c>
      <c r="B53" s="3" t="s">
        <v>142</v>
      </c>
      <c r="C53" s="3" t="s">
        <v>121</v>
      </c>
      <c r="D53" s="3" t="s">
        <v>124</v>
      </c>
      <c r="E53" s="5" t="s">
        <v>23</v>
      </c>
      <c r="F53" s="5" t="s">
        <v>23</v>
      </c>
      <c r="G53" s="5" t="s">
        <v>23</v>
      </c>
      <c r="H53" s="4">
        <v>0</v>
      </c>
      <c r="I53" s="4">
        <v>15</v>
      </c>
      <c r="J53" s="3" t="s">
        <v>73</v>
      </c>
      <c r="K53" s="3"/>
    </row>
    <row r="54" spans="1:11" x14ac:dyDescent="0.25">
      <c r="A54" s="3">
        <v>119</v>
      </c>
      <c r="B54" s="3" t="s">
        <v>143</v>
      </c>
      <c r="C54" s="3" t="s">
        <v>121</v>
      </c>
      <c r="D54" s="3" t="s">
        <v>144</v>
      </c>
      <c r="E54" s="5" t="s">
        <v>23</v>
      </c>
      <c r="F54" s="5" t="s">
        <v>23</v>
      </c>
      <c r="G54" s="5" t="s">
        <v>23</v>
      </c>
      <c r="H54" s="4">
        <v>0</v>
      </c>
      <c r="I54" s="4">
        <v>1750</v>
      </c>
      <c r="J54" s="3" t="s">
        <v>73</v>
      </c>
      <c r="K54" s="3"/>
    </row>
    <row r="55" spans="1:11" x14ac:dyDescent="0.25">
      <c r="A55" s="3">
        <v>110</v>
      </c>
      <c r="B55" s="3" t="s">
        <v>145</v>
      </c>
      <c r="C55" s="3" t="s">
        <v>121</v>
      </c>
      <c r="D55" s="3" t="s">
        <v>122</v>
      </c>
      <c r="E55" s="5" t="s">
        <v>23</v>
      </c>
      <c r="F55" s="5" t="s">
        <v>23</v>
      </c>
      <c r="G55" s="5" t="s">
        <v>23</v>
      </c>
      <c r="H55" s="4">
        <v>0</v>
      </c>
      <c r="I55" s="4">
        <v>200</v>
      </c>
      <c r="J55" s="3" t="s">
        <v>73</v>
      </c>
      <c r="K55" s="3"/>
    </row>
    <row r="56" spans="1:11" x14ac:dyDescent="0.25">
      <c r="A56" s="3">
        <v>100</v>
      </c>
      <c r="B56" s="3" t="s">
        <v>146</v>
      </c>
      <c r="C56" s="3" t="s">
        <v>121</v>
      </c>
      <c r="D56" s="3" t="s">
        <v>124</v>
      </c>
      <c r="E56" s="5" t="s">
        <v>23</v>
      </c>
      <c r="F56" s="5" t="s">
        <v>23</v>
      </c>
      <c r="G56" s="5" t="s">
        <v>23</v>
      </c>
      <c r="H56" s="4">
        <v>0</v>
      </c>
      <c r="I56" s="4">
        <v>15</v>
      </c>
      <c r="J56" s="3" t="s">
        <v>73</v>
      </c>
      <c r="K56" s="3"/>
    </row>
    <row r="57" spans="1:11" x14ac:dyDescent="0.25">
      <c r="A57" s="3">
        <v>67</v>
      </c>
      <c r="B57" s="3" t="s">
        <v>147</v>
      </c>
      <c r="C57" s="3" t="s">
        <v>121</v>
      </c>
      <c r="D57" s="3" t="s">
        <v>140</v>
      </c>
      <c r="E57" s="5" t="s">
        <v>23</v>
      </c>
      <c r="F57" s="5" t="s">
        <v>23</v>
      </c>
      <c r="G57" s="5" t="s">
        <v>23</v>
      </c>
      <c r="H57" s="4">
        <v>0</v>
      </c>
      <c r="I57" s="4">
        <v>500</v>
      </c>
      <c r="J57" s="3" t="s">
        <v>73</v>
      </c>
      <c r="K57" s="3"/>
    </row>
    <row r="58" spans="1:11" x14ac:dyDescent="0.25">
      <c r="A58" s="3">
        <v>68</v>
      </c>
      <c r="B58" s="3" t="s">
        <v>148</v>
      </c>
      <c r="C58" s="3" t="s">
        <v>121</v>
      </c>
      <c r="D58" s="3" t="s">
        <v>140</v>
      </c>
      <c r="E58" s="5" t="s">
        <v>23</v>
      </c>
      <c r="F58" s="5" t="s">
        <v>23</v>
      </c>
      <c r="G58" s="5" t="s">
        <v>23</v>
      </c>
      <c r="H58" s="4">
        <v>0</v>
      </c>
      <c r="I58" s="4">
        <v>200</v>
      </c>
      <c r="J58" s="3" t="s">
        <v>73</v>
      </c>
      <c r="K58" s="3"/>
    </row>
    <row r="59" spans="1:11" x14ac:dyDescent="0.25">
      <c r="A59" s="3">
        <v>114</v>
      </c>
      <c r="B59" s="3" t="s">
        <v>149</v>
      </c>
      <c r="C59" s="3" t="s">
        <v>121</v>
      </c>
      <c r="D59" s="3" t="s">
        <v>144</v>
      </c>
      <c r="E59" s="5" t="s">
        <v>23</v>
      </c>
      <c r="F59" s="5" t="s">
        <v>23</v>
      </c>
      <c r="G59" s="5" t="s">
        <v>23</v>
      </c>
      <c r="H59" s="4">
        <v>0</v>
      </c>
      <c r="I59" s="4">
        <v>640</v>
      </c>
      <c r="J59" s="3" t="s">
        <v>73</v>
      </c>
      <c r="K59" s="3"/>
    </row>
    <row r="60" spans="1:11" x14ac:dyDescent="0.25">
      <c r="A60" s="3">
        <v>112</v>
      </c>
      <c r="B60" s="3" t="s">
        <v>150</v>
      </c>
      <c r="C60" s="3" t="s">
        <v>121</v>
      </c>
      <c r="D60" s="3" t="s">
        <v>122</v>
      </c>
      <c r="E60" s="5" t="s">
        <v>23</v>
      </c>
      <c r="F60" s="5" t="s">
        <v>23</v>
      </c>
      <c r="G60" s="5" t="s">
        <v>23</v>
      </c>
      <c r="H60" s="4">
        <v>0</v>
      </c>
      <c r="I60" s="4">
        <v>10000</v>
      </c>
      <c r="J60" s="3" t="s">
        <v>101</v>
      </c>
      <c r="K60" s="3"/>
    </row>
    <row r="61" spans="1:11" x14ac:dyDescent="0.25">
      <c r="A61" s="3">
        <v>108</v>
      </c>
      <c r="B61" s="3" t="s">
        <v>151</v>
      </c>
      <c r="C61" s="3" t="s">
        <v>121</v>
      </c>
      <c r="D61" s="3" t="s">
        <v>152</v>
      </c>
      <c r="E61" s="5" t="s">
        <v>23</v>
      </c>
      <c r="F61" s="5" t="s">
        <v>23</v>
      </c>
      <c r="G61" s="5" t="s">
        <v>23</v>
      </c>
      <c r="H61" s="4">
        <v>0</v>
      </c>
      <c r="I61" s="4">
        <v>30</v>
      </c>
      <c r="J61" s="3" t="s">
        <v>73</v>
      </c>
      <c r="K61" s="3"/>
    </row>
    <row r="62" spans="1:11" x14ac:dyDescent="0.25">
      <c r="A62" s="3">
        <v>107</v>
      </c>
      <c r="B62" s="3" t="s">
        <v>153</v>
      </c>
      <c r="C62" s="3" t="s">
        <v>121</v>
      </c>
      <c r="D62" s="3" t="s">
        <v>152</v>
      </c>
      <c r="E62" s="5" t="s">
        <v>23</v>
      </c>
      <c r="F62" s="5" t="s">
        <v>23</v>
      </c>
      <c r="G62" s="5" t="s">
        <v>23</v>
      </c>
      <c r="H62" s="4">
        <v>0</v>
      </c>
      <c r="I62" s="4">
        <v>100</v>
      </c>
      <c r="J62" s="3" t="s">
        <v>73</v>
      </c>
      <c r="K62" s="3"/>
    </row>
    <row r="63" spans="1:11" x14ac:dyDescent="0.25">
      <c r="A63" s="3">
        <v>116</v>
      </c>
      <c r="B63" s="3" t="s">
        <v>154</v>
      </c>
      <c r="C63" s="3" t="s">
        <v>121</v>
      </c>
      <c r="D63" s="3" t="s">
        <v>138</v>
      </c>
      <c r="E63" s="5" t="s">
        <v>23</v>
      </c>
      <c r="F63" s="5" t="s">
        <v>23</v>
      </c>
      <c r="G63" s="5" t="s">
        <v>23</v>
      </c>
      <c r="H63" s="4">
        <v>0</v>
      </c>
      <c r="I63" s="4">
        <v>50</v>
      </c>
      <c r="J63" s="3" t="s">
        <v>73</v>
      </c>
      <c r="K63" s="3"/>
    </row>
    <row r="64" spans="1:11" x14ac:dyDescent="0.25">
      <c r="A64" s="3">
        <v>115</v>
      </c>
      <c r="B64" s="3" t="s">
        <v>155</v>
      </c>
      <c r="C64" s="3" t="s">
        <v>121</v>
      </c>
      <c r="D64" s="3" t="s">
        <v>144</v>
      </c>
      <c r="E64" s="5" t="s">
        <v>23</v>
      </c>
      <c r="F64" s="5" t="s">
        <v>23</v>
      </c>
      <c r="G64" s="5" t="s">
        <v>23</v>
      </c>
      <c r="H64" s="4">
        <v>0</v>
      </c>
      <c r="I64" s="4">
        <v>52</v>
      </c>
      <c r="J64" s="3" t="s">
        <v>73</v>
      </c>
      <c r="K64" s="3"/>
    </row>
    <row r="65" spans="1:11" x14ac:dyDescent="0.25">
      <c r="A65" s="3">
        <v>106</v>
      </c>
      <c r="B65" s="3" t="s">
        <v>156</v>
      </c>
      <c r="C65" s="3" t="s">
        <v>121</v>
      </c>
      <c r="D65" s="3" t="s">
        <v>157</v>
      </c>
      <c r="E65" s="5" t="s">
        <v>23</v>
      </c>
      <c r="F65" s="5" t="s">
        <v>23</v>
      </c>
      <c r="G65" s="5" t="s">
        <v>23</v>
      </c>
      <c r="H65" s="4">
        <v>0</v>
      </c>
      <c r="I65" s="4">
        <v>100</v>
      </c>
      <c r="J65" s="3" t="s">
        <v>73</v>
      </c>
      <c r="K65" s="3"/>
    </row>
    <row r="66" spans="1:11" x14ac:dyDescent="0.25">
      <c r="A66" s="3">
        <v>117</v>
      </c>
      <c r="B66" s="3" t="s">
        <v>158</v>
      </c>
      <c r="C66" s="3" t="s">
        <v>121</v>
      </c>
      <c r="D66" s="3" t="s">
        <v>140</v>
      </c>
      <c r="E66" s="5" t="s">
        <v>23</v>
      </c>
      <c r="F66" s="5" t="s">
        <v>23</v>
      </c>
      <c r="G66" s="5" t="s">
        <v>23</v>
      </c>
      <c r="H66" s="4">
        <v>0</v>
      </c>
      <c r="I66" s="4">
        <v>100</v>
      </c>
      <c r="J66" s="3" t="s">
        <v>73</v>
      </c>
      <c r="K66" s="3"/>
    </row>
    <row r="67" spans="1:11" x14ac:dyDescent="0.25">
      <c r="A67" s="3">
        <v>104</v>
      </c>
      <c r="B67" s="3" t="s">
        <v>159</v>
      </c>
      <c r="C67" s="3" t="s">
        <v>121</v>
      </c>
      <c r="D67" s="3" t="s">
        <v>138</v>
      </c>
      <c r="E67" s="5" t="s">
        <v>23</v>
      </c>
      <c r="F67" s="5" t="s">
        <v>23</v>
      </c>
      <c r="G67" s="5" t="s">
        <v>23</v>
      </c>
      <c r="H67" s="4">
        <v>0</v>
      </c>
      <c r="I67" s="4">
        <v>2000</v>
      </c>
      <c r="J67" s="3" t="s">
        <v>101</v>
      </c>
      <c r="K67" s="3"/>
    </row>
    <row r="68" spans="1:11" x14ac:dyDescent="0.25">
      <c r="A68" s="3">
        <v>103</v>
      </c>
      <c r="B68" s="3" t="s">
        <v>160</v>
      </c>
      <c r="C68" s="3" t="s">
        <v>121</v>
      </c>
      <c r="D68" s="3" t="s">
        <v>140</v>
      </c>
      <c r="E68" s="5" t="s">
        <v>23</v>
      </c>
      <c r="F68" s="5" t="s">
        <v>23</v>
      </c>
      <c r="G68" s="5" t="s">
        <v>23</v>
      </c>
      <c r="H68" s="4">
        <v>0</v>
      </c>
      <c r="I68" s="4">
        <v>150</v>
      </c>
      <c r="J68" s="3" t="s">
        <v>73</v>
      </c>
      <c r="K68" s="3"/>
    </row>
    <row r="69" spans="1:11" x14ac:dyDescent="0.25">
      <c r="A69" s="3">
        <v>120</v>
      </c>
      <c r="B69" s="3" t="s">
        <v>161</v>
      </c>
      <c r="C69" s="3" t="s">
        <v>121</v>
      </c>
      <c r="D69" s="3" t="s">
        <v>122</v>
      </c>
      <c r="E69" s="5" t="s">
        <v>23</v>
      </c>
      <c r="F69" s="5" t="s">
        <v>23</v>
      </c>
      <c r="G69" s="5" t="s">
        <v>23</v>
      </c>
      <c r="H69" s="4">
        <v>0</v>
      </c>
      <c r="I69" s="4">
        <v>225000</v>
      </c>
      <c r="J69" s="3" t="s">
        <v>101</v>
      </c>
      <c r="K69" s="3" t="s">
        <v>162</v>
      </c>
    </row>
    <row r="70" spans="1:11" x14ac:dyDescent="0.25">
      <c r="A70" s="3">
        <v>66</v>
      </c>
      <c r="B70" s="3" t="s">
        <v>163</v>
      </c>
      <c r="C70" s="3" t="s">
        <v>164</v>
      </c>
      <c r="D70" s="3" t="s">
        <v>140</v>
      </c>
      <c r="E70" s="5" t="s">
        <v>23</v>
      </c>
      <c r="F70" s="5" t="s">
        <v>23</v>
      </c>
      <c r="G70" s="5" t="s">
        <v>23</v>
      </c>
      <c r="H70" s="4">
        <v>0</v>
      </c>
      <c r="I70" s="4">
        <v>50</v>
      </c>
      <c r="J70" s="3" t="s">
        <v>73</v>
      </c>
      <c r="K70" s="3"/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pane ySplit="4" topLeftCell="A5" activePane="bottomLeft" state="frozen"/>
      <selection pane="bottomLeft" sqref="A1:E1"/>
    </sheetView>
  </sheetViews>
  <sheetFormatPr defaultRowHeight="15" x14ac:dyDescent="0.25"/>
  <cols>
    <col min="1" max="1" width="6" customWidth="1"/>
    <col min="2" max="2" width="34" customWidth="1"/>
    <col min="3" max="3" width="42" customWidth="1"/>
    <col min="4" max="4" width="16" customWidth="1"/>
    <col min="5" max="5" width="40" customWidth="1"/>
  </cols>
  <sheetData>
    <row r="1" spans="1:5" ht="16.5" x14ac:dyDescent="0.25">
      <c r="A1" s="8" t="s">
        <v>165</v>
      </c>
      <c r="B1" s="7"/>
      <c r="C1" s="7"/>
      <c r="D1" s="7"/>
      <c r="E1" s="7"/>
    </row>
    <row r="2" spans="1:5" ht="27.95" customHeight="1" x14ac:dyDescent="0.25">
      <c r="A2" s="9" t="s">
        <v>166</v>
      </c>
      <c r="B2" s="7"/>
      <c r="C2" s="7"/>
      <c r="D2" s="7"/>
      <c r="E2" s="7"/>
    </row>
    <row r="4" spans="1:5" ht="25.5" x14ac:dyDescent="0.25">
      <c r="A4" s="1" t="s">
        <v>59</v>
      </c>
      <c r="B4" s="1" t="s">
        <v>60</v>
      </c>
      <c r="C4" s="1" t="s">
        <v>167</v>
      </c>
      <c r="D4" s="1" t="s">
        <v>168</v>
      </c>
      <c r="E4" s="1" t="s">
        <v>8</v>
      </c>
    </row>
    <row r="5" spans="1:5" x14ac:dyDescent="0.25">
      <c r="A5" s="3">
        <v>81</v>
      </c>
      <c r="B5" s="3" t="s">
        <v>169</v>
      </c>
      <c r="C5" s="3" t="s">
        <v>170</v>
      </c>
      <c r="D5" s="5" t="s">
        <v>171</v>
      </c>
      <c r="E5" s="3"/>
    </row>
    <row r="6" spans="1:5" x14ac:dyDescent="0.25">
      <c r="A6" s="3">
        <v>83</v>
      </c>
      <c r="B6" s="3" t="s">
        <v>172</v>
      </c>
      <c r="C6" s="3" t="s">
        <v>170</v>
      </c>
      <c r="D6" s="5" t="s">
        <v>171</v>
      </c>
      <c r="E6" s="3"/>
    </row>
    <row r="7" spans="1:5" x14ac:dyDescent="0.25">
      <c r="A7" s="3">
        <v>89</v>
      </c>
      <c r="B7" s="3" t="s">
        <v>173</v>
      </c>
      <c r="C7" s="3" t="s">
        <v>170</v>
      </c>
      <c r="D7" s="5" t="s">
        <v>171</v>
      </c>
      <c r="E7" s="3"/>
    </row>
    <row r="8" spans="1:5" x14ac:dyDescent="0.25">
      <c r="A8" s="3">
        <v>91</v>
      </c>
      <c r="B8" s="3" t="s">
        <v>174</v>
      </c>
      <c r="C8" s="3" t="s">
        <v>170</v>
      </c>
      <c r="D8" s="5" t="s">
        <v>171</v>
      </c>
      <c r="E8" s="3"/>
    </row>
    <row r="9" spans="1:5" x14ac:dyDescent="0.25">
      <c r="A9" s="3">
        <v>121</v>
      </c>
      <c r="B9" s="3" t="s">
        <v>175</v>
      </c>
      <c r="C9" s="3" t="s">
        <v>170</v>
      </c>
      <c r="D9" s="5" t="s">
        <v>171</v>
      </c>
      <c r="E9" s="3"/>
    </row>
    <row r="10" spans="1:5" x14ac:dyDescent="0.25">
      <c r="A10" s="3">
        <v>71</v>
      </c>
      <c r="B10" s="3" t="s">
        <v>176</v>
      </c>
      <c r="C10" s="3" t="s">
        <v>170</v>
      </c>
      <c r="D10" s="5" t="s">
        <v>171</v>
      </c>
      <c r="E10" s="3"/>
    </row>
    <row r="11" spans="1:5" x14ac:dyDescent="0.25">
      <c r="A11" s="3">
        <v>80</v>
      </c>
      <c r="B11" s="3" t="s">
        <v>177</v>
      </c>
      <c r="C11" s="3" t="s">
        <v>178</v>
      </c>
      <c r="D11" s="5" t="s">
        <v>171</v>
      </c>
      <c r="E11" s="3" t="s">
        <v>179</v>
      </c>
    </row>
    <row r="12" spans="1:5" x14ac:dyDescent="0.25">
      <c r="A12" s="3">
        <v>79</v>
      </c>
      <c r="B12" s="3" t="s">
        <v>180</v>
      </c>
      <c r="C12" s="3" t="s">
        <v>181</v>
      </c>
      <c r="D12" s="5" t="s">
        <v>171</v>
      </c>
      <c r="E12" s="3"/>
    </row>
    <row r="13" spans="1:5" x14ac:dyDescent="0.25">
      <c r="A13" s="3">
        <v>78</v>
      </c>
      <c r="B13" s="3" t="s">
        <v>182</v>
      </c>
      <c r="C13" s="3" t="s">
        <v>183</v>
      </c>
      <c r="D13" s="5" t="s">
        <v>171</v>
      </c>
      <c r="E13" s="3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workbookViewId="0">
      <pane ySplit="4" topLeftCell="A38" activePane="bottomLeft" state="frozen"/>
      <selection pane="bottomLeft" sqref="A1:L1"/>
    </sheetView>
  </sheetViews>
  <sheetFormatPr defaultRowHeight="15" x14ac:dyDescent="0.25"/>
  <cols>
    <col min="1" max="1" width="8" customWidth="1"/>
    <col min="2" max="2" width="30" customWidth="1"/>
    <col min="3" max="3" width="16" customWidth="1"/>
    <col min="4" max="4" width="32" customWidth="1"/>
    <col min="5" max="5" width="10" customWidth="1"/>
    <col min="6" max="8" width="16" customWidth="1"/>
    <col min="9" max="10" width="14" customWidth="1"/>
    <col min="11" max="11" width="12" customWidth="1"/>
    <col min="12" max="12" width="46" customWidth="1"/>
  </cols>
  <sheetData>
    <row r="1" spans="1:12" ht="16.5" x14ac:dyDescent="0.25">
      <c r="A1" s="8" t="s">
        <v>184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39.950000000000003" customHeight="1" x14ac:dyDescent="0.25">
      <c r="A2" s="9" t="s">
        <v>58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4" spans="1:12" ht="38.25" x14ac:dyDescent="0.25">
      <c r="A4" s="1" t="s">
        <v>185</v>
      </c>
      <c r="B4" s="1" t="s">
        <v>60</v>
      </c>
      <c r="C4" s="1" t="s">
        <v>186</v>
      </c>
      <c r="D4" s="1" t="s">
        <v>187</v>
      </c>
      <c r="E4" s="1" t="s">
        <v>62</v>
      </c>
      <c r="F4" s="1" t="s">
        <v>63</v>
      </c>
      <c r="G4" s="1" t="s">
        <v>64</v>
      </c>
      <c r="H4" s="1" t="s">
        <v>65</v>
      </c>
      <c r="I4" s="1" t="s">
        <v>66</v>
      </c>
      <c r="J4" s="1" t="s">
        <v>67</v>
      </c>
      <c r="K4" s="1" t="s">
        <v>68</v>
      </c>
      <c r="L4" s="1" t="s">
        <v>8</v>
      </c>
    </row>
    <row r="5" spans="1:12" x14ac:dyDescent="0.25">
      <c r="A5" s="3">
        <v>27</v>
      </c>
      <c r="B5" s="3" t="s">
        <v>188</v>
      </c>
      <c r="C5" s="3" t="s">
        <v>189</v>
      </c>
      <c r="D5" s="3" t="s">
        <v>190</v>
      </c>
      <c r="E5" s="3" t="s">
        <v>11</v>
      </c>
      <c r="F5" s="2">
        <v>4</v>
      </c>
      <c r="G5" s="2">
        <v>20</v>
      </c>
      <c r="H5" s="2" t="s">
        <v>191</v>
      </c>
      <c r="I5" s="4">
        <v>0.1</v>
      </c>
      <c r="J5" s="4">
        <v>100</v>
      </c>
      <c r="K5" s="3" t="s">
        <v>73</v>
      </c>
      <c r="L5" s="3" t="s">
        <v>192</v>
      </c>
    </row>
    <row r="6" spans="1:12" x14ac:dyDescent="0.25">
      <c r="A6" s="3">
        <v>27</v>
      </c>
      <c r="B6" s="3" t="s">
        <v>188</v>
      </c>
      <c r="C6" s="3" t="s">
        <v>193</v>
      </c>
      <c r="D6" s="3" t="s">
        <v>194</v>
      </c>
      <c r="E6" s="3" t="s">
        <v>13</v>
      </c>
      <c r="F6" s="2">
        <v>2.5</v>
      </c>
      <c r="G6" s="2">
        <v>6</v>
      </c>
      <c r="H6" s="2" t="s">
        <v>191</v>
      </c>
      <c r="I6" s="4">
        <v>0.5</v>
      </c>
      <c r="J6" s="4">
        <v>10</v>
      </c>
      <c r="K6" s="3" t="s">
        <v>73</v>
      </c>
      <c r="L6" s="3" t="s">
        <v>192</v>
      </c>
    </row>
    <row r="7" spans="1:12" x14ac:dyDescent="0.25">
      <c r="A7" s="3">
        <v>27</v>
      </c>
      <c r="B7" s="3" t="s">
        <v>188</v>
      </c>
      <c r="C7" s="3" t="s">
        <v>195</v>
      </c>
      <c r="D7" s="3" t="s">
        <v>196</v>
      </c>
      <c r="E7" s="3" t="s">
        <v>15</v>
      </c>
      <c r="F7" s="2">
        <v>80</v>
      </c>
      <c r="G7" s="2">
        <v>160</v>
      </c>
      <c r="H7" s="2" t="s">
        <v>191</v>
      </c>
      <c r="I7" s="4">
        <v>20</v>
      </c>
      <c r="J7" s="4">
        <v>250</v>
      </c>
      <c r="K7" s="3" t="s">
        <v>101</v>
      </c>
      <c r="L7" s="3" t="s">
        <v>192</v>
      </c>
    </row>
    <row r="8" spans="1:12" x14ac:dyDescent="0.25">
      <c r="A8" s="3">
        <v>27</v>
      </c>
      <c r="B8" s="3" t="s">
        <v>188</v>
      </c>
      <c r="C8" s="3" t="s">
        <v>197</v>
      </c>
      <c r="D8" s="3" t="s">
        <v>198</v>
      </c>
      <c r="E8" s="3" t="s">
        <v>11</v>
      </c>
      <c r="F8" s="2">
        <v>100</v>
      </c>
      <c r="G8" s="2">
        <v>600</v>
      </c>
      <c r="H8" s="2" t="s">
        <v>191</v>
      </c>
      <c r="I8" s="4">
        <v>5</v>
      </c>
      <c r="J8" s="4">
        <v>2000</v>
      </c>
      <c r="K8" s="3" t="s">
        <v>101</v>
      </c>
      <c r="L8" s="3" t="s">
        <v>192</v>
      </c>
    </row>
    <row r="9" spans="1:12" ht="25.5" x14ac:dyDescent="0.25">
      <c r="A9" s="3">
        <v>27</v>
      </c>
      <c r="B9" s="3" t="s">
        <v>188</v>
      </c>
      <c r="C9" s="3" t="s">
        <v>199</v>
      </c>
      <c r="D9" s="3" t="s">
        <v>200</v>
      </c>
      <c r="E9" s="3" t="s">
        <v>23</v>
      </c>
      <c r="F9" s="5" t="s">
        <v>171</v>
      </c>
      <c r="G9" s="5" t="s">
        <v>171</v>
      </c>
      <c r="H9" s="5" t="s">
        <v>23</v>
      </c>
      <c r="I9" s="4"/>
      <c r="J9" s="4"/>
      <c r="K9" s="3" t="s">
        <v>23</v>
      </c>
      <c r="L9" s="3" t="s">
        <v>201</v>
      </c>
    </row>
    <row r="10" spans="1:12" x14ac:dyDescent="0.25">
      <c r="A10" s="3">
        <v>55</v>
      </c>
      <c r="B10" s="3" t="s">
        <v>202</v>
      </c>
      <c r="C10" s="3" t="s">
        <v>203</v>
      </c>
      <c r="D10" s="3" t="s">
        <v>43</v>
      </c>
      <c r="E10" s="3" t="s">
        <v>88</v>
      </c>
      <c r="F10" s="2" t="s">
        <v>23</v>
      </c>
      <c r="G10" s="2">
        <v>200</v>
      </c>
      <c r="H10" s="2" t="s">
        <v>75</v>
      </c>
      <c r="I10" s="4">
        <v>0</v>
      </c>
      <c r="J10" s="4">
        <v>400</v>
      </c>
      <c r="K10" s="3" t="s">
        <v>73</v>
      </c>
      <c r="L10" s="3" t="s">
        <v>204</v>
      </c>
    </row>
    <row r="11" spans="1:12" x14ac:dyDescent="0.25">
      <c r="A11" s="3">
        <v>55</v>
      </c>
      <c r="B11" s="3" t="s">
        <v>202</v>
      </c>
      <c r="C11" s="3" t="s">
        <v>205</v>
      </c>
      <c r="D11" s="3" t="s">
        <v>206</v>
      </c>
      <c r="E11" s="3" t="s">
        <v>88</v>
      </c>
      <c r="F11" s="2" t="s">
        <v>23</v>
      </c>
      <c r="G11" s="2">
        <v>100</v>
      </c>
      <c r="H11" s="2" t="s">
        <v>72</v>
      </c>
      <c r="I11" s="4">
        <v>0</v>
      </c>
      <c r="J11" s="4">
        <v>200</v>
      </c>
      <c r="K11" s="3" t="s">
        <v>73</v>
      </c>
      <c r="L11" s="3" t="s">
        <v>207</v>
      </c>
    </row>
    <row r="12" spans="1:12" x14ac:dyDescent="0.25">
      <c r="A12" s="3">
        <v>55</v>
      </c>
      <c r="B12" s="3" t="s">
        <v>202</v>
      </c>
      <c r="C12" s="3" t="s">
        <v>208</v>
      </c>
      <c r="D12" s="3" t="s">
        <v>209</v>
      </c>
      <c r="E12" s="3" t="s">
        <v>88</v>
      </c>
      <c r="F12" s="5" t="s">
        <v>171</v>
      </c>
      <c r="G12" s="5" t="s">
        <v>171</v>
      </c>
      <c r="H12" s="5" t="s">
        <v>23</v>
      </c>
      <c r="I12" s="4">
        <v>0</v>
      </c>
      <c r="J12" s="4">
        <v>400</v>
      </c>
      <c r="K12" s="3" t="s">
        <v>73</v>
      </c>
      <c r="L12" s="3" t="s">
        <v>210</v>
      </c>
    </row>
    <row r="13" spans="1:12" x14ac:dyDescent="0.25">
      <c r="A13" s="3">
        <v>58</v>
      </c>
      <c r="B13" s="3" t="s">
        <v>211</v>
      </c>
      <c r="C13" s="3" t="s">
        <v>212</v>
      </c>
      <c r="D13" s="3" t="s">
        <v>213</v>
      </c>
      <c r="E13" s="3" t="s">
        <v>116</v>
      </c>
      <c r="F13" s="5" t="s">
        <v>171</v>
      </c>
      <c r="G13" s="5" t="s">
        <v>171</v>
      </c>
      <c r="H13" s="5" t="s">
        <v>23</v>
      </c>
      <c r="I13" s="4">
        <v>0</v>
      </c>
      <c r="J13" s="4">
        <v>200</v>
      </c>
      <c r="K13" s="3" t="s">
        <v>73</v>
      </c>
      <c r="L13" s="3"/>
    </row>
    <row r="14" spans="1:12" x14ac:dyDescent="0.25">
      <c r="A14" s="3">
        <v>58</v>
      </c>
      <c r="B14" s="3" t="s">
        <v>211</v>
      </c>
      <c r="C14" s="3" t="s">
        <v>214</v>
      </c>
      <c r="D14" s="3" t="s">
        <v>215</v>
      </c>
      <c r="E14" s="3" t="s">
        <v>118</v>
      </c>
      <c r="F14" s="5" t="s">
        <v>171</v>
      </c>
      <c r="G14" s="5" t="s">
        <v>171</v>
      </c>
      <c r="H14" s="5" t="s">
        <v>23</v>
      </c>
      <c r="I14" s="4">
        <v>0</v>
      </c>
      <c r="J14" s="4">
        <v>300</v>
      </c>
      <c r="K14" s="3" t="s">
        <v>73</v>
      </c>
      <c r="L14" s="3"/>
    </row>
    <row r="15" spans="1:12" x14ac:dyDescent="0.25">
      <c r="A15" s="3">
        <v>58</v>
      </c>
      <c r="B15" s="3" t="s">
        <v>211</v>
      </c>
      <c r="C15" s="3" t="s">
        <v>216</v>
      </c>
      <c r="D15" s="3" t="s">
        <v>217</v>
      </c>
      <c r="E15" s="3" t="s">
        <v>116</v>
      </c>
      <c r="F15" s="5" t="s">
        <v>171</v>
      </c>
      <c r="G15" s="5" t="s">
        <v>171</v>
      </c>
      <c r="H15" s="5" t="s">
        <v>23</v>
      </c>
      <c r="I15" s="4">
        <v>0</v>
      </c>
      <c r="J15" s="4">
        <v>1300</v>
      </c>
      <c r="K15" s="3" t="s">
        <v>73</v>
      </c>
      <c r="L15" s="3"/>
    </row>
    <row r="16" spans="1:12" x14ac:dyDescent="0.25">
      <c r="A16" s="3">
        <v>62</v>
      </c>
      <c r="B16" s="3" t="s">
        <v>218</v>
      </c>
      <c r="C16" s="3" t="s">
        <v>212</v>
      </c>
      <c r="D16" s="3" t="s">
        <v>219</v>
      </c>
      <c r="E16" s="3" t="s">
        <v>116</v>
      </c>
      <c r="F16" s="5" t="s">
        <v>171</v>
      </c>
      <c r="G16" s="5" t="s">
        <v>171</v>
      </c>
      <c r="H16" s="5" t="s">
        <v>23</v>
      </c>
      <c r="I16" s="4">
        <v>0</v>
      </c>
      <c r="J16" s="4">
        <v>200</v>
      </c>
      <c r="K16" s="3" t="s">
        <v>73</v>
      </c>
      <c r="L16" s="3"/>
    </row>
    <row r="17" spans="1:12" x14ac:dyDescent="0.25">
      <c r="A17" s="3">
        <v>62</v>
      </c>
      <c r="B17" s="3" t="s">
        <v>218</v>
      </c>
      <c r="C17" s="3" t="s">
        <v>214</v>
      </c>
      <c r="D17" s="3" t="s">
        <v>220</v>
      </c>
      <c r="E17" s="3" t="s">
        <v>118</v>
      </c>
      <c r="F17" s="5" t="s">
        <v>171</v>
      </c>
      <c r="G17" s="5" t="s">
        <v>171</v>
      </c>
      <c r="H17" s="5" t="s">
        <v>23</v>
      </c>
      <c r="I17" s="4">
        <v>0</v>
      </c>
      <c r="J17" s="4">
        <v>96</v>
      </c>
      <c r="K17" s="3" t="s">
        <v>73</v>
      </c>
      <c r="L17" s="3" t="s">
        <v>221</v>
      </c>
    </row>
    <row r="18" spans="1:12" x14ac:dyDescent="0.25">
      <c r="A18" s="3">
        <v>62</v>
      </c>
      <c r="B18" s="3" t="s">
        <v>218</v>
      </c>
      <c r="C18" s="3" t="s">
        <v>216</v>
      </c>
      <c r="D18" s="3" t="s">
        <v>222</v>
      </c>
      <c r="E18" s="3" t="s">
        <v>116</v>
      </c>
      <c r="F18" s="5" t="s">
        <v>171</v>
      </c>
      <c r="G18" s="5" t="s">
        <v>171</v>
      </c>
      <c r="H18" s="5" t="s">
        <v>23</v>
      </c>
      <c r="I18" s="4">
        <v>0</v>
      </c>
      <c r="J18" s="4">
        <v>800</v>
      </c>
      <c r="K18" s="3" t="s">
        <v>73</v>
      </c>
      <c r="L18" s="3"/>
    </row>
    <row r="19" spans="1:12" x14ac:dyDescent="0.25">
      <c r="A19" s="3">
        <v>73</v>
      </c>
      <c r="B19" s="3" t="s">
        <v>223</v>
      </c>
      <c r="C19" s="3" t="s">
        <v>224</v>
      </c>
      <c r="D19" s="3" t="s">
        <v>225</v>
      </c>
      <c r="E19" s="3" t="s">
        <v>104</v>
      </c>
      <c r="F19" s="5" t="s">
        <v>171</v>
      </c>
      <c r="G19" s="5" t="s">
        <v>171</v>
      </c>
      <c r="H19" s="5" t="s">
        <v>23</v>
      </c>
      <c r="I19" s="4">
        <v>8</v>
      </c>
      <c r="J19" s="4">
        <v>120</v>
      </c>
      <c r="K19" s="3" t="s">
        <v>73</v>
      </c>
      <c r="L19" s="3"/>
    </row>
    <row r="20" spans="1:12" x14ac:dyDescent="0.25">
      <c r="A20" s="3">
        <v>73</v>
      </c>
      <c r="B20" s="3" t="s">
        <v>223</v>
      </c>
      <c r="C20" s="3" t="s">
        <v>226</v>
      </c>
      <c r="D20" s="3" t="s">
        <v>227</v>
      </c>
      <c r="E20" s="3" t="s">
        <v>228</v>
      </c>
      <c r="F20" s="5" t="s">
        <v>171</v>
      </c>
      <c r="G20" s="5" t="s">
        <v>171</v>
      </c>
      <c r="H20" s="5" t="s">
        <v>23</v>
      </c>
      <c r="I20" s="4">
        <v>5</v>
      </c>
      <c r="J20" s="4">
        <v>150</v>
      </c>
      <c r="K20" s="3" t="s">
        <v>73</v>
      </c>
      <c r="L20" s="3"/>
    </row>
    <row r="21" spans="1:12" x14ac:dyDescent="0.25">
      <c r="A21" s="3">
        <v>73</v>
      </c>
      <c r="B21" s="3" t="s">
        <v>223</v>
      </c>
      <c r="C21" s="3" t="s">
        <v>229</v>
      </c>
      <c r="D21" s="3" t="s">
        <v>230</v>
      </c>
      <c r="E21" s="3" t="s">
        <v>231</v>
      </c>
      <c r="F21" s="5" t="s">
        <v>171</v>
      </c>
      <c r="G21" s="5" t="s">
        <v>171</v>
      </c>
      <c r="H21" s="5" t="s">
        <v>23</v>
      </c>
      <c r="I21" s="4">
        <v>0.5</v>
      </c>
      <c r="J21" s="4">
        <v>8</v>
      </c>
      <c r="K21" s="3" t="s">
        <v>73</v>
      </c>
      <c r="L21" s="3"/>
    </row>
    <row r="22" spans="1:12" x14ac:dyDescent="0.25">
      <c r="A22" s="3">
        <v>73</v>
      </c>
      <c r="B22" s="3" t="s">
        <v>223</v>
      </c>
      <c r="C22" s="3" t="s">
        <v>232</v>
      </c>
      <c r="D22" s="3" t="s">
        <v>233</v>
      </c>
      <c r="E22" s="3" t="s">
        <v>104</v>
      </c>
      <c r="F22" s="5" t="s">
        <v>171</v>
      </c>
      <c r="G22" s="5" t="s">
        <v>171</v>
      </c>
      <c r="H22" s="5" t="s">
        <v>23</v>
      </c>
      <c r="I22" s="4">
        <v>9</v>
      </c>
      <c r="J22" s="4">
        <v>60</v>
      </c>
      <c r="K22" s="3" t="s">
        <v>73</v>
      </c>
      <c r="L22" s="3"/>
    </row>
    <row r="23" spans="1:12" x14ac:dyDescent="0.25">
      <c r="A23" s="3">
        <v>73</v>
      </c>
      <c r="B23" s="3" t="s">
        <v>223</v>
      </c>
      <c r="C23" s="3" t="s">
        <v>234</v>
      </c>
      <c r="D23" s="3" t="s">
        <v>102</v>
      </c>
      <c r="E23" s="3" t="s">
        <v>104</v>
      </c>
      <c r="F23" s="5" t="s">
        <v>171</v>
      </c>
      <c r="G23" s="5" t="s">
        <v>171</v>
      </c>
      <c r="H23" s="5" t="s">
        <v>23</v>
      </c>
      <c r="I23" s="4">
        <v>10</v>
      </c>
      <c r="J23" s="4">
        <v>200</v>
      </c>
      <c r="K23" s="3" t="s">
        <v>73</v>
      </c>
      <c r="L23" s="3"/>
    </row>
    <row r="24" spans="1:12" x14ac:dyDescent="0.25">
      <c r="A24" s="3">
        <v>73</v>
      </c>
      <c r="B24" s="3" t="s">
        <v>223</v>
      </c>
      <c r="C24" s="3" t="s">
        <v>235</v>
      </c>
      <c r="D24" s="3" t="s">
        <v>105</v>
      </c>
      <c r="E24" s="3" t="s">
        <v>15</v>
      </c>
      <c r="F24" s="5" t="s">
        <v>171</v>
      </c>
      <c r="G24" s="5" t="s">
        <v>171</v>
      </c>
      <c r="H24" s="5" t="s">
        <v>23</v>
      </c>
      <c r="I24" s="4">
        <v>0.3</v>
      </c>
      <c r="J24" s="4">
        <v>10</v>
      </c>
      <c r="K24" s="3" t="s">
        <v>73</v>
      </c>
      <c r="L24" s="3"/>
    </row>
    <row r="25" spans="1:12" ht="25.5" x14ac:dyDescent="0.25">
      <c r="A25" s="3">
        <v>126</v>
      </c>
      <c r="B25" s="3" t="s">
        <v>236</v>
      </c>
      <c r="C25" s="3" t="s">
        <v>237</v>
      </c>
      <c r="D25" s="3" t="s">
        <v>97</v>
      </c>
      <c r="E25" s="3" t="s">
        <v>81</v>
      </c>
      <c r="F25" s="2" t="s">
        <v>238</v>
      </c>
      <c r="G25" s="2" t="s">
        <v>238</v>
      </c>
      <c r="H25" s="5" t="s">
        <v>23</v>
      </c>
      <c r="I25" s="4">
        <v>0.5</v>
      </c>
      <c r="J25" s="4">
        <v>20</v>
      </c>
      <c r="K25" s="3" t="s">
        <v>73</v>
      </c>
      <c r="L25" s="3" t="s">
        <v>239</v>
      </c>
    </row>
    <row r="26" spans="1:12" x14ac:dyDescent="0.25">
      <c r="A26" s="3">
        <v>126</v>
      </c>
      <c r="B26" s="3" t="s">
        <v>236</v>
      </c>
      <c r="C26" s="3" t="s">
        <v>240</v>
      </c>
      <c r="D26" s="3" t="s">
        <v>241</v>
      </c>
      <c r="E26" s="3" t="s">
        <v>81</v>
      </c>
      <c r="F26" s="5" t="s">
        <v>171</v>
      </c>
      <c r="G26" s="5" t="s">
        <v>171</v>
      </c>
      <c r="H26" s="5" t="s">
        <v>23</v>
      </c>
      <c r="I26" s="4">
        <v>0.1</v>
      </c>
      <c r="J26" s="4">
        <v>5</v>
      </c>
      <c r="K26" s="3" t="s">
        <v>73</v>
      </c>
      <c r="L26" s="3"/>
    </row>
    <row r="27" spans="1:12" x14ac:dyDescent="0.25">
      <c r="A27" s="3">
        <v>126</v>
      </c>
      <c r="B27" s="3" t="s">
        <v>236</v>
      </c>
      <c r="C27" s="3" t="s">
        <v>242</v>
      </c>
      <c r="D27" s="3" t="s">
        <v>243</v>
      </c>
      <c r="E27" s="3" t="s">
        <v>81</v>
      </c>
      <c r="F27" s="5" t="s">
        <v>171</v>
      </c>
      <c r="G27" s="5" t="s">
        <v>171</v>
      </c>
      <c r="H27" s="5" t="s">
        <v>23</v>
      </c>
      <c r="I27" s="4">
        <v>0.2</v>
      </c>
      <c r="J27" s="4">
        <v>10</v>
      </c>
      <c r="K27" s="3" t="s">
        <v>73</v>
      </c>
      <c r="L27" s="3"/>
    </row>
    <row r="28" spans="1:12" x14ac:dyDescent="0.25">
      <c r="A28" s="3">
        <v>126</v>
      </c>
      <c r="B28" s="3" t="s">
        <v>236</v>
      </c>
      <c r="C28" s="3" t="s">
        <v>244</v>
      </c>
      <c r="D28" s="3" t="s">
        <v>245</v>
      </c>
      <c r="E28" s="3" t="s">
        <v>81</v>
      </c>
      <c r="F28" s="2" t="s">
        <v>238</v>
      </c>
      <c r="G28" s="2" t="s">
        <v>238</v>
      </c>
      <c r="H28" s="5" t="s">
        <v>23</v>
      </c>
      <c r="I28" s="4">
        <v>0.1</v>
      </c>
      <c r="J28" s="4">
        <v>11.4</v>
      </c>
      <c r="K28" s="3" t="s">
        <v>73</v>
      </c>
      <c r="L28" s="3" t="s">
        <v>246</v>
      </c>
    </row>
    <row r="29" spans="1:12" x14ac:dyDescent="0.25">
      <c r="A29" s="3">
        <v>126</v>
      </c>
      <c r="B29" s="3" t="s">
        <v>236</v>
      </c>
      <c r="C29" s="3" t="s">
        <v>247</v>
      </c>
      <c r="D29" s="3" t="s">
        <v>248</v>
      </c>
      <c r="E29" s="3" t="s">
        <v>81</v>
      </c>
      <c r="F29" s="5" t="s">
        <v>171</v>
      </c>
      <c r="G29" s="5" t="s">
        <v>171</v>
      </c>
      <c r="H29" s="5" t="s">
        <v>23</v>
      </c>
      <c r="I29" s="4">
        <v>0</v>
      </c>
      <c r="J29" s="4">
        <v>5</v>
      </c>
      <c r="K29" s="3" t="s">
        <v>73</v>
      </c>
      <c r="L29" s="3" t="s">
        <v>249</v>
      </c>
    </row>
    <row r="30" spans="1:12" ht="25.5" x14ac:dyDescent="0.25">
      <c r="A30" s="3">
        <v>126</v>
      </c>
      <c r="B30" s="3" t="s">
        <v>236</v>
      </c>
      <c r="C30" s="3" t="s">
        <v>250</v>
      </c>
      <c r="D30" s="3" t="s">
        <v>251</v>
      </c>
      <c r="E30" s="3" t="s">
        <v>23</v>
      </c>
      <c r="F30" s="5" t="s">
        <v>171</v>
      </c>
      <c r="G30" s="5" t="s">
        <v>171</v>
      </c>
      <c r="H30" s="5" t="s">
        <v>23</v>
      </c>
      <c r="I30" s="4">
        <v>0</v>
      </c>
      <c r="J30" s="4">
        <v>10</v>
      </c>
      <c r="K30" s="3" t="s">
        <v>73</v>
      </c>
      <c r="L30" s="3" t="s">
        <v>252</v>
      </c>
    </row>
    <row r="31" spans="1:12" ht="25.5" x14ac:dyDescent="0.25">
      <c r="A31" s="3">
        <v>127</v>
      </c>
      <c r="B31" s="3" t="s">
        <v>253</v>
      </c>
      <c r="C31" s="3" t="s">
        <v>254</v>
      </c>
      <c r="D31" s="3" t="s">
        <v>91</v>
      </c>
      <c r="E31" s="3" t="s">
        <v>81</v>
      </c>
      <c r="F31" s="2" t="s">
        <v>238</v>
      </c>
      <c r="G31" s="2" t="s">
        <v>238</v>
      </c>
      <c r="H31" s="5" t="s">
        <v>23</v>
      </c>
      <c r="I31" s="4">
        <v>0.5</v>
      </c>
      <c r="J31" s="4">
        <v>50</v>
      </c>
      <c r="K31" s="3" t="s">
        <v>73</v>
      </c>
      <c r="L31" s="3" t="s">
        <v>255</v>
      </c>
    </row>
    <row r="32" spans="1:12" ht="25.5" x14ac:dyDescent="0.25">
      <c r="A32" s="3">
        <v>127</v>
      </c>
      <c r="B32" s="3" t="s">
        <v>253</v>
      </c>
      <c r="C32" s="3" t="s">
        <v>256</v>
      </c>
      <c r="D32" s="3" t="s">
        <v>87</v>
      </c>
      <c r="E32" s="3" t="s">
        <v>88</v>
      </c>
      <c r="F32" s="2" t="s">
        <v>238</v>
      </c>
      <c r="G32" s="2" t="s">
        <v>238</v>
      </c>
      <c r="H32" s="5" t="s">
        <v>23</v>
      </c>
      <c r="I32" s="4">
        <v>10</v>
      </c>
      <c r="J32" s="4">
        <v>1800</v>
      </c>
      <c r="K32" s="3" t="s">
        <v>73</v>
      </c>
      <c r="L32" s="3" t="s">
        <v>257</v>
      </c>
    </row>
    <row r="33" spans="1:12" x14ac:dyDescent="0.25">
      <c r="A33" s="3">
        <v>127</v>
      </c>
      <c r="B33" s="3" t="s">
        <v>253</v>
      </c>
      <c r="C33" s="3" t="s">
        <v>258</v>
      </c>
      <c r="D33" s="3" t="s">
        <v>259</v>
      </c>
      <c r="E33" s="3" t="s">
        <v>88</v>
      </c>
      <c r="F33" s="2" t="s">
        <v>238</v>
      </c>
      <c r="G33" s="2" t="s">
        <v>238</v>
      </c>
      <c r="H33" s="5" t="s">
        <v>23</v>
      </c>
      <c r="I33" s="4">
        <v>30</v>
      </c>
      <c r="J33" s="4">
        <v>1500</v>
      </c>
      <c r="K33" s="3" t="s">
        <v>73</v>
      </c>
      <c r="L33" s="3" t="s">
        <v>260</v>
      </c>
    </row>
    <row r="34" spans="1:12" x14ac:dyDescent="0.25">
      <c r="A34" s="3">
        <v>127</v>
      </c>
      <c r="B34" s="3" t="s">
        <v>253</v>
      </c>
      <c r="C34" s="3" t="s">
        <v>261</v>
      </c>
      <c r="D34" s="3" t="s">
        <v>74</v>
      </c>
      <c r="E34" s="3" t="s">
        <v>15</v>
      </c>
      <c r="F34" s="2" t="s">
        <v>238</v>
      </c>
      <c r="G34" s="2" t="s">
        <v>238</v>
      </c>
      <c r="H34" s="5" t="s">
        <v>23</v>
      </c>
      <c r="I34" s="4">
        <v>2</v>
      </c>
      <c r="J34" s="4">
        <v>60</v>
      </c>
      <c r="K34" s="3" t="s">
        <v>73</v>
      </c>
      <c r="L34" s="3" t="s">
        <v>262</v>
      </c>
    </row>
    <row r="35" spans="1:12" x14ac:dyDescent="0.25">
      <c r="A35" s="3">
        <v>127</v>
      </c>
      <c r="B35" s="3" t="s">
        <v>253</v>
      </c>
      <c r="C35" s="3" t="s">
        <v>263</v>
      </c>
      <c r="D35" s="3" t="s">
        <v>264</v>
      </c>
      <c r="E35" s="3" t="s">
        <v>81</v>
      </c>
      <c r="F35" s="5" t="s">
        <v>171</v>
      </c>
      <c r="G35" s="5" t="s">
        <v>171</v>
      </c>
      <c r="H35" s="5" t="s">
        <v>23</v>
      </c>
      <c r="I35" s="4">
        <v>0.2</v>
      </c>
      <c r="J35" s="4">
        <v>25</v>
      </c>
      <c r="K35" s="3" t="s">
        <v>73</v>
      </c>
      <c r="L35" s="3" t="s">
        <v>265</v>
      </c>
    </row>
    <row r="36" spans="1:12" x14ac:dyDescent="0.25">
      <c r="A36" s="3">
        <v>127</v>
      </c>
      <c r="B36" s="3" t="s">
        <v>253</v>
      </c>
      <c r="C36" s="3" t="s">
        <v>266</v>
      </c>
      <c r="D36" s="3" t="s">
        <v>267</v>
      </c>
      <c r="E36" s="3" t="s">
        <v>268</v>
      </c>
      <c r="F36" s="5" t="s">
        <v>171</v>
      </c>
      <c r="G36" s="5" t="s">
        <v>171</v>
      </c>
      <c r="H36" s="5" t="s">
        <v>23</v>
      </c>
      <c r="I36" s="4">
        <v>0</v>
      </c>
      <c r="J36" s="4">
        <v>200</v>
      </c>
      <c r="K36" s="3" t="s">
        <v>101</v>
      </c>
      <c r="L36" s="3" t="s">
        <v>269</v>
      </c>
    </row>
    <row r="37" spans="1:12" x14ac:dyDescent="0.25">
      <c r="A37" s="3">
        <v>33</v>
      </c>
      <c r="B37" s="3" t="s">
        <v>270</v>
      </c>
      <c r="C37" s="3" t="s">
        <v>271</v>
      </c>
      <c r="D37" s="3" t="s">
        <v>272</v>
      </c>
      <c r="E37" s="3" t="s">
        <v>273</v>
      </c>
      <c r="F37" s="5" t="s">
        <v>171</v>
      </c>
      <c r="G37" s="5" t="s">
        <v>171</v>
      </c>
      <c r="H37" s="5" t="s">
        <v>23</v>
      </c>
      <c r="I37" s="4">
        <v>0</v>
      </c>
      <c r="J37" s="4">
        <v>100000000</v>
      </c>
      <c r="K37" s="3" t="s">
        <v>101</v>
      </c>
      <c r="L37" s="3"/>
    </row>
    <row r="38" spans="1:12" x14ac:dyDescent="0.25">
      <c r="A38" s="3">
        <v>33</v>
      </c>
      <c r="B38" s="3" t="s">
        <v>270</v>
      </c>
      <c r="C38" s="3" t="s">
        <v>274</v>
      </c>
      <c r="D38" s="3" t="s">
        <v>275</v>
      </c>
      <c r="E38" s="3" t="s">
        <v>273</v>
      </c>
      <c r="F38" s="5" t="s">
        <v>171</v>
      </c>
      <c r="G38" s="5" t="s">
        <v>171</v>
      </c>
      <c r="H38" s="5" t="s">
        <v>23</v>
      </c>
      <c r="I38" s="4">
        <v>0</v>
      </c>
      <c r="J38" s="4">
        <v>100000000</v>
      </c>
      <c r="K38" s="3" t="s">
        <v>101</v>
      </c>
      <c r="L38" s="3"/>
    </row>
    <row r="39" spans="1:12" x14ac:dyDescent="0.25">
      <c r="A39" s="3">
        <v>33</v>
      </c>
      <c r="B39" s="3" t="s">
        <v>270</v>
      </c>
      <c r="C39" s="3" t="s">
        <v>276</v>
      </c>
      <c r="D39" s="3" t="s">
        <v>277</v>
      </c>
      <c r="E39" s="3" t="s">
        <v>273</v>
      </c>
      <c r="F39" s="5" t="s">
        <v>171</v>
      </c>
      <c r="G39" s="5" t="s">
        <v>171</v>
      </c>
      <c r="H39" s="5" t="s">
        <v>23</v>
      </c>
      <c r="I39" s="4">
        <v>0</v>
      </c>
      <c r="J39" s="4">
        <v>10000000</v>
      </c>
      <c r="K39" s="3" t="s">
        <v>101</v>
      </c>
      <c r="L39" s="3"/>
    </row>
    <row r="40" spans="1:12" x14ac:dyDescent="0.25">
      <c r="A40" s="3">
        <v>34</v>
      </c>
      <c r="B40" s="3" t="s">
        <v>278</v>
      </c>
      <c r="C40" s="3" t="s">
        <v>279</v>
      </c>
      <c r="D40" s="3" t="s">
        <v>280</v>
      </c>
      <c r="E40" s="3" t="s">
        <v>281</v>
      </c>
      <c r="F40" s="5" t="s">
        <v>171</v>
      </c>
      <c r="G40" s="5" t="s">
        <v>171</v>
      </c>
      <c r="H40" s="5" t="s">
        <v>23</v>
      </c>
      <c r="I40" s="4">
        <v>0</v>
      </c>
      <c r="J40" s="4">
        <v>600</v>
      </c>
      <c r="K40" s="3" t="s">
        <v>101</v>
      </c>
      <c r="L40" s="3" t="s">
        <v>282</v>
      </c>
    </row>
    <row r="41" spans="1:12" x14ac:dyDescent="0.25">
      <c r="A41" s="3">
        <v>34</v>
      </c>
      <c r="B41" s="3" t="s">
        <v>278</v>
      </c>
      <c r="C41" s="3" t="s">
        <v>283</v>
      </c>
      <c r="D41" s="3" t="s">
        <v>284</v>
      </c>
      <c r="E41" s="3" t="s">
        <v>23</v>
      </c>
      <c r="F41" s="5" t="s">
        <v>171</v>
      </c>
      <c r="G41" s="5" t="s">
        <v>171</v>
      </c>
      <c r="H41" s="5" t="s">
        <v>23</v>
      </c>
      <c r="I41" s="4">
        <v>1</v>
      </c>
      <c r="J41" s="4">
        <v>1.04</v>
      </c>
      <c r="K41" s="3" t="s">
        <v>73</v>
      </c>
      <c r="L41" s="3" t="s">
        <v>282</v>
      </c>
    </row>
    <row r="42" spans="1:12" x14ac:dyDescent="0.25">
      <c r="A42" s="3">
        <v>34</v>
      </c>
      <c r="B42" s="3" t="s">
        <v>278</v>
      </c>
      <c r="C42" s="3" t="s">
        <v>285</v>
      </c>
      <c r="D42" s="3" t="s">
        <v>286</v>
      </c>
      <c r="E42" s="3" t="s">
        <v>281</v>
      </c>
      <c r="F42" s="5" t="s">
        <v>171</v>
      </c>
      <c r="G42" s="5" t="s">
        <v>171</v>
      </c>
      <c r="H42" s="5" t="s">
        <v>23</v>
      </c>
      <c r="I42" s="4">
        <v>0</v>
      </c>
      <c r="J42" s="4">
        <v>3000</v>
      </c>
      <c r="K42" s="3" t="s">
        <v>101</v>
      </c>
      <c r="L42" s="3" t="s">
        <v>287</v>
      </c>
    </row>
    <row r="43" spans="1:12" x14ac:dyDescent="0.25">
      <c r="A43" s="3">
        <v>34</v>
      </c>
      <c r="B43" s="3" t="s">
        <v>278</v>
      </c>
      <c r="C43" s="3" t="s">
        <v>288</v>
      </c>
      <c r="D43" s="3" t="s">
        <v>289</v>
      </c>
      <c r="E43" s="3" t="s">
        <v>281</v>
      </c>
      <c r="F43" s="5" t="s">
        <v>171</v>
      </c>
      <c r="G43" s="5" t="s">
        <v>171</v>
      </c>
      <c r="H43" s="5" t="s">
        <v>23</v>
      </c>
      <c r="I43" s="4">
        <v>0</v>
      </c>
      <c r="J43" s="4">
        <v>2000</v>
      </c>
      <c r="K43" s="3" t="s">
        <v>101</v>
      </c>
      <c r="L43" s="3" t="s">
        <v>287</v>
      </c>
    </row>
    <row r="44" spans="1:12" x14ac:dyDescent="0.25">
      <c r="A44" s="3">
        <v>34</v>
      </c>
      <c r="B44" s="3" t="s">
        <v>278</v>
      </c>
      <c r="C44" s="3" t="s">
        <v>290</v>
      </c>
      <c r="D44" s="3" t="s">
        <v>291</v>
      </c>
      <c r="E44" s="3" t="s">
        <v>281</v>
      </c>
      <c r="F44" s="5" t="s">
        <v>171</v>
      </c>
      <c r="G44" s="5" t="s">
        <v>171</v>
      </c>
      <c r="H44" s="5" t="s">
        <v>23</v>
      </c>
      <c r="I44" s="4">
        <v>0</v>
      </c>
      <c r="J44" s="4">
        <v>4000</v>
      </c>
      <c r="K44" s="3" t="s">
        <v>101</v>
      </c>
      <c r="L44" s="3" t="e">
        <f>kunduzgi + tungi (R4)</f>
        <v>#NAME?</v>
      </c>
    </row>
    <row r="45" spans="1:12" x14ac:dyDescent="0.25">
      <c r="A45" s="3">
        <v>87</v>
      </c>
      <c r="B45" s="3" t="s">
        <v>292</v>
      </c>
      <c r="C45" s="3" t="s">
        <v>293</v>
      </c>
      <c r="D45" s="3" t="s">
        <v>294</v>
      </c>
      <c r="E45" s="3" t="s">
        <v>295</v>
      </c>
      <c r="F45" s="5" t="s">
        <v>171</v>
      </c>
      <c r="G45" s="5" t="s">
        <v>171</v>
      </c>
      <c r="H45" s="5" t="s">
        <v>23</v>
      </c>
      <c r="I45" s="4"/>
      <c r="J45" s="4"/>
      <c r="K45" s="3" t="s">
        <v>296</v>
      </c>
      <c r="L45" s="3" t="s">
        <v>297</v>
      </c>
    </row>
    <row r="46" spans="1:12" x14ac:dyDescent="0.25">
      <c r="A46" s="3">
        <v>87</v>
      </c>
      <c r="B46" s="3" t="s">
        <v>292</v>
      </c>
      <c r="C46" s="3" t="s">
        <v>298</v>
      </c>
      <c r="D46" s="3" t="s">
        <v>299</v>
      </c>
      <c r="E46" s="3" t="s">
        <v>300</v>
      </c>
      <c r="F46" s="5" t="s">
        <v>171</v>
      </c>
      <c r="G46" s="5" t="s">
        <v>171</v>
      </c>
      <c r="H46" s="5" t="s">
        <v>23</v>
      </c>
      <c r="I46" s="4"/>
      <c r="J46" s="4"/>
      <c r="K46" s="3" t="s">
        <v>296</v>
      </c>
      <c r="L46" s="3" t="s">
        <v>301</v>
      </c>
    </row>
    <row r="47" spans="1:12" ht="25.5" x14ac:dyDescent="0.25">
      <c r="A47" s="3">
        <v>31</v>
      </c>
      <c r="B47" s="3" t="s">
        <v>302</v>
      </c>
      <c r="C47" s="3" t="s">
        <v>303</v>
      </c>
      <c r="D47" s="3" t="s">
        <v>304</v>
      </c>
      <c r="E47" s="3" t="s">
        <v>23</v>
      </c>
      <c r="F47" s="5" t="s">
        <v>171</v>
      </c>
      <c r="G47" s="5" t="s">
        <v>171</v>
      </c>
      <c r="H47" s="5" t="s">
        <v>23</v>
      </c>
      <c r="I47" s="4"/>
      <c r="J47" s="4"/>
      <c r="K47" s="3" t="s">
        <v>305</v>
      </c>
      <c r="L47" s="3" t="s">
        <v>306</v>
      </c>
    </row>
    <row r="48" spans="1:12" ht="25.5" x14ac:dyDescent="0.25">
      <c r="A48" s="3">
        <v>31</v>
      </c>
      <c r="B48" s="3" t="s">
        <v>302</v>
      </c>
      <c r="C48" s="3" t="s">
        <v>307</v>
      </c>
      <c r="D48" s="3" t="s">
        <v>308</v>
      </c>
      <c r="E48" s="3" t="s">
        <v>23</v>
      </c>
      <c r="F48" s="5" t="s">
        <v>171</v>
      </c>
      <c r="G48" s="5" t="s">
        <v>171</v>
      </c>
      <c r="H48" s="5" t="s">
        <v>23</v>
      </c>
      <c r="I48" s="4"/>
      <c r="J48" s="4"/>
      <c r="K48" s="3" t="s">
        <v>305</v>
      </c>
      <c r="L48" s="3" t="s">
        <v>309</v>
      </c>
    </row>
    <row r="49" spans="1:12" ht="25.5" x14ac:dyDescent="0.25">
      <c r="A49" s="3">
        <v>96</v>
      </c>
      <c r="B49" s="3" t="s">
        <v>310</v>
      </c>
      <c r="C49" s="3" t="s">
        <v>311</v>
      </c>
      <c r="D49" s="3" t="s">
        <v>312</v>
      </c>
      <c r="E49" s="3" t="s">
        <v>23</v>
      </c>
      <c r="F49" s="5" t="s">
        <v>171</v>
      </c>
      <c r="G49" s="5" t="s">
        <v>171</v>
      </c>
      <c r="H49" s="5" t="s">
        <v>23</v>
      </c>
      <c r="I49" s="4"/>
      <c r="J49" s="4"/>
      <c r="K49" s="3" t="s">
        <v>313</v>
      </c>
      <c r="L49" s="3" t="s">
        <v>314</v>
      </c>
    </row>
    <row r="50" spans="1:12" ht="25.5" x14ac:dyDescent="0.25">
      <c r="A50" s="3">
        <v>94</v>
      </c>
      <c r="B50" s="3" t="s">
        <v>315</v>
      </c>
      <c r="C50" s="3" t="s">
        <v>311</v>
      </c>
      <c r="D50" s="3" t="s">
        <v>312</v>
      </c>
      <c r="E50" s="3" t="s">
        <v>23</v>
      </c>
      <c r="F50" s="5" t="s">
        <v>171</v>
      </c>
      <c r="G50" s="5" t="s">
        <v>171</v>
      </c>
      <c r="H50" s="5" t="s">
        <v>23</v>
      </c>
      <c r="I50" s="4"/>
      <c r="J50" s="4"/>
      <c r="K50" s="3" t="s">
        <v>313</v>
      </c>
      <c r="L50" s="3" t="s">
        <v>316</v>
      </c>
    </row>
    <row r="51" spans="1:12" ht="25.5" x14ac:dyDescent="0.25">
      <c r="A51" s="3">
        <v>97</v>
      </c>
      <c r="B51" s="3" t="s">
        <v>317</v>
      </c>
      <c r="C51" s="3" t="s">
        <v>311</v>
      </c>
      <c r="D51" s="3" t="s">
        <v>312</v>
      </c>
      <c r="E51" s="3" t="s">
        <v>23</v>
      </c>
      <c r="F51" s="5" t="s">
        <v>171</v>
      </c>
      <c r="G51" s="5" t="s">
        <v>171</v>
      </c>
      <c r="H51" s="5" t="s">
        <v>23</v>
      </c>
      <c r="I51" s="4"/>
      <c r="J51" s="4"/>
      <c r="K51" s="3" t="s">
        <v>313</v>
      </c>
      <c r="L51" s="3" t="s">
        <v>316</v>
      </c>
    </row>
    <row r="52" spans="1:12" ht="25.5" x14ac:dyDescent="0.25">
      <c r="A52" s="3">
        <v>93</v>
      </c>
      <c r="B52" s="3" t="s">
        <v>318</v>
      </c>
      <c r="C52" s="3" t="s">
        <v>311</v>
      </c>
      <c r="D52" s="3" t="s">
        <v>312</v>
      </c>
      <c r="E52" s="3" t="s">
        <v>23</v>
      </c>
      <c r="F52" s="5" t="s">
        <v>171</v>
      </c>
      <c r="G52" s="5" t="s">
        <v>171</v>
      </c>
      <c r="H52" s="5" t="s">
        <v>23</v>
      </c>
      <c r="I52" s="4"/>
      <c r="J52" s="4"/>
      <c r="K52" s="3" t="s">
        <v>313</v>
      </c>
      <c r="L52" s="3" t="s">
        <v>319</v>
      </c>
    </row>
    <row r="53" spans="1:12" ht="25.5" x14ac:dyDescent="0.25">
      <c r="A53" s="3">
        <v>102</v>
      </c>
      <c r="B53" s="3" t="s">
        <v>320</v>
      </c>
      <c r="C53" s="3" t="s">
        <v>311</v>
      </c>
      <c r="D53" s="3" t="s">
        <v>312</v>
      </c>
      <c r="E53" s="3" t="s">
        <v>23</v>
      </c>
      <c r="F53" s="5" t="s">
        <v>171</v>
      </c>
      <c r="G53" s="5" t="s">
        <v>171</v>
      </c>
      <c r="H53" s="5" t="s">
        <v>23</v>
      </c>
      <c r="I53" s="4"/>
      <c r="J53" s="4"/>
      <c r="K53" s="3" t="s">
        <v>313</v>
      </c>
      <c r="L53" s="3" t="s">
        <v>321</v>
      </c>
    </row>
    <row r="54" spans="1:12" ht="25.5" x14ac:dyDescent="0.25">
      <c r="A54" s="3">
        <v>28</v>
      </c>
      <c r="B54" s="3" t="s">
        <v>322</v>
      </c>
      <c r="C54" s="3" t="s">
        <v>323</v>
      </c>
      <c r="D54" s="3" t="s">
        <v>324</v>
      </c>
      <c r="E54" s="3" t="s">
        <v>23</v>
      </c>
      <c r="F54" s="5" t="s">
        <v>171</v>
      </c>
      <c r="G54" s="5" t="s">
        <v>171</v>
      </c>
      <c r="H54" s="5" t="s">
        <v>23</v>
      </c>
      <c r="I54" s="4"/>
      <c r="J54" s="4"/>
      <c r="K54" s="3" t="s">
        <v>325</v>
      </c>
      <c r="L54" s="3" t="s">
        <v>326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workbookViewId="0">
      <pane ySplit="4" topLeftCell="A5" activePane="bottomLeft" state="frozen"/>
      <selection pane="bottomLeft" sqref="A1:G1"/>
    </sheetView>
  </sheetViews>
  <sheetFormatPr defaultRowHeight="15" x14ac:dyDescent="0.25"/>
  <cols>
    <col min="1" max="1" width="7" customWidth="1"/>
    <col min="2" max="2" width="26" customWidth="1"/>
    <col min="3" max="3" width="20" customWidth="1"/>
    <col min="4" max="4" width="40" customWidth="1"/>
    <col min="5" max="5" width="34" customWidth="1"/>
    <col min="6" max="6" width="40" customWidth="1"/>
    <col min="7" max="7" width="14" customWidth="1"/>
  </cols>
  <sheetData>
    <row r="1" spans="1:7" ht="16.5" x14ac:dyDescent="0.25">
      <c r="A1" s="8" t="s">
        <v>327</v>
      </c>
      <c r="B1" s="7"/>
      <c r="C1" s="7"/>
      <c r="D1" s="7"/>
      <c r="E1" s="7"/>
      <c r="F1" s="7"/>
      <c r="G1" s="7"/>
    </row>
    <row r="2" spans="1:7" ht="27.95" customHeight="1" x14ac:dyDescent="0.25">
      <c r="A2" s="9" t="s">
        <v>328</v>
      </c>
      <c r="B2" s="7"/>
      <c r="C2" s="7"/>
      <c r="D2" s="7"/>
      <c r="E2" s="7"/>
      <c r="F2" s="7"/>
      <c r="G2" s="7"/>
    </row>
    <row r="4" spans="1:7" x14ac:dyDescent="0.25">
      <c r="A4" s="1" t="s">
        <v>329</v>
      </c>
      <c r="B4" s="1" t="s">
        <v>330</v>
      </c>
      <c r="C4" s="1" t="s">
        <v>331</v>
      </c>
      <c r="D4" s="1" t="s">
        <v>332</v>
      </c>
      <c r="E4" s="1" t="s">
        <v>333</v>
      </c>
      <c r="F4" s="1" t="s">
        <v>334</v>
      </c>
      <c r="G4" s="1" t="s">
        <v>335</v>
      </c>
    </row>
    <row r="5" spans="1:7" ht="25.5" x14ac:dyDescent="0.25">
      <c r="A5" s="3" t="s">
        <v>336</v>
      </c>
      <c r="B5" s="2" t="s">
        <v>337</v>
      </c>
      <c r="C5" s="3" t="s">
        <v>338</v>
      </c>
      <c r="D5" s="3" t="s">
        <v>339</v>
      </c>
      <c r="E5" s="3" t="s">
        <v>340</v>
      </c>
      <c r="F5" s="3" t="s">
        <v>341</v>
      </c>
      <c r="G5" s="3" t="s">
        <v>10</v>
      </c>
    </row>
    <row r="6" spans="1:7" ht="25.5" x14ac:dyDescent="0.25">
      <c r="A6" s="3" t="s">
        <v>342</v>
      </c>
      <c r="B6" s="2" t="s">
        <v>337</v>
      </c>
      <c r="C6" s="3" t="s">
        <v>70</v>
      </c>
      <c r="D6" s="3" t="s">
        <v>343</v>
      </c>
      <c r="E6" s="3" t="s">
        <v>344</v>
      </c>
      <c r="F6" s="3" t="s">
        <v>345</v>
      </c>
      <c r="G6" s="3" t="s">
        <v>346</v>
      </c>
    </row>
    <row r="7" spans="1:7" x14ac:dyDescent="0.25">
      <c r="A7" s="3" t="s">
        <v>347</v>
      </c>
      <c r="B7" s="2" t="s">
        <v>337</v>
      </c>
      <c r="C7" s="3" t="s">
        <v>348</v>
      </c>
      <c r="D7" s="3" t="s">
        <v>48</v>
      </c>
      <c r="E7" s="3" t="s">
        <v>349</v>
      </c>
      <c r="F7" s="3" t="s">
        <v>350</v>
      </c>
      <c r="G7" s="3" t="s">
        <v>10</v>
      </c>
    </row>
    <row r="8" spans="1:7" x14ac:dyDescent="0.25">
      <c r="A8" s="3" t="s">
        <v>351</v>
      </c>
      <c r="B8" s="2" t="s">
        <v>337</v>
      </c>
      <c r="C8" s="3" t="s">
        <v>348</v>
      </c>
      <c r="D8" s="3" t="s">
        <v>352</v>
      </c>
      <c r="E8" s="3" t="s">
        <v>353</v>
      </c>
      <c r="F8" s="3" t="s">
        <v>350</v>
      </c>
      <c r="G8" s="3" t="s">
        <v>10</v>
      </c>
    </row>
    <row r="9" spans="1:7" ht="25.5" x14ac:dyDescent="0.25">
      <c r="A9" s="3" t="s">
        <v>354</v>
      </c>
      <c r="B9" s="4" t="s">
        <v>355</v>
      </c>
      <c r="C9" s="3" t="s">
        <v>356</v>
      </c>
      <c r="D9" s="3" t="s">
        <v>357</v>
      </c>
      <c r="E9" s="3" t="s">
        <v>358</v>
      </c>
      <c r="F9" s="3" t="s">
        <v>359</v>
      </c>
      <c r="G9" s="3" t="s">
        <v>346</v>
      </c>
    </row>
    <row r="10" spans="1:7" ht="25.5" x14ac:dyDescent="0.25">
      <c r="A10" s="3" t="s">
        <v>360</v>
      </c>
      <c r="B10" s="4" t="s">
        <v>355</v>
      </c>
      <c r="C10" s="3" t="s">
        <v>361</v>
      </c>
      <c r="D10" s="3" t="s">
        <v>362</v>
      </c>
      <c r="E10" s="3" t="s">
        <v>363</v>
      </c>
      <c r="F10" s="3" t="s">
        <v>364</v>
      </c>
      <c r="G10" s="3" t="s">
        <v>346</v>
      </c>
    </row>
    <row r="11" spans="1:7" x14ac:dyDescent="0.25">
      <c r="A11" s="3" t="s">
        <v>365</v>
      </c>
      <c r="B11" s="4" t="s">
        <v>366</v>
      </c>
      <c r="C11" s="3" t="s">
        <v>367</v>
      </c>
      <c r="D11" s="3" t="s">
        <v>368</v>
      </c>
      <c r="E11" s="3" t="s">
        <v>369</v>
      </c>
      <c r="F11" s="3" t="s">
        <v>370</v>
      </c>
      <c r="G11" s="3" t="s">
        <v>10</v>
      </c>
    </row>
    <row r="12" spans="1:7" x14ac:dyDescent="0.25">
      <c r="A12" s="3" t="s">
        <v>371</v>
      </c>
      <c r="B12" s="4" t="s">
        <v>366</v>
      </c>
      <c r="C12" s="3" t="s">
        <v>367</v>
      </c>
      <c r="D12" s="3" t="s">
        <v>372</v>
      </c>
      <c r="E12" s="3" t="s">
        <v>373</v>
      </c>
      <c r="F12" s="3" t="s">
        <v>374</v>
      </c>
      <c r="G12" s="3" t="s">
        <v>10</v>
      </c>
    </row>
    <row r="13" spans="1:7" x14ac:dyDescent="0.25">
      <c r="A13" s="3" t="s">
        <v>375</v>
      </c>
      <c r="B13" s="4" t="s">
        <v>366</v>
      </c>
      <c r="C13" s="3" t="s">
        <v>367</v>
      </c>
      <c r="D13" s="3" t="s">
        <v>376</v>
      </c>
      <c r="E13" s="3" t="s">
        <v>377</v>
      </c>
      <c r="F13" s="3" t="s">
        <v>378</v>
      </c>
      <c r="G13" s="3" t="s">
        <v>52</v>
      </c>
    </row>
    <row r="14" spans="1:7" x14ac:dyDescent="0.25">
      <c r="A14" s="3" t="s">
        <v>379</v>
      </c>
      <c r="B14" s="4" t="s">
        <v>366</v>
      </c>
      <c r="C14" s="3" t="s">
        <v>367</v>
      </c>
      <c r="D14" s="3" t="s">
        <v>380</v>
      </c>
      <c r="E14" s="3" t="s">
        <v>381</v>
      </c>
      <c r="F14" s="3" t="s">
        <v>382</v>
      </c>
      <c r="G14" s="3" t="s">
        <v>10</v>
      </c>
    </row>
    <row r="15" spans="1:7" x14ac:dyDescent="0.25">
      <c r="A15" s="3" t="s">
        <v>383</v>
      </c>
      <c r="B15" s="4" t="s">
        <v>366</v>
      </c>
      <c r="C15" s="3" t="s">
        <v>367</v>
      </c>
      <c r="D15" s="3" t="s">
        <v>384</v>
      </c>
      <c r="E15" s="3" t="s">
        <v>385</v>
      </c>
      <c r="F15" s="3" t="s">
        <v>386</v>
      </c>
      <c r="G15" s="3" t="s">
        <v>10</v>
      </c>
    </row>
    <row r="16" spans="1:7" x14ac:dyDescent="0.25">
      <c r="A16" s="3" t="s">
        <v>387</v>
      </c>
      <c r="B16" s="4" t="s">
        <v>366</v>
      </c>
      <c r="C16" s="3" t="s">
        <v>367</v>
      </c>
      <c r="D16" s="3" t="s">
        <v>388</v>
      </c>
      <c r="E16" s="3" t="s">
        <v>389</v>
      </c>
      <c r="F16" s="3" t="s">
        <v>390</v>
      </c>
      <c r="G16" s="3" t="s">
        <v>52</v>
      </c>
    </row>
    <row r="17" spans="1:7" x14ac:dyDescent="0.25">
      <c r="A17" s="3" t="s">
        <v>391</v>
      </c>
      <c r="B17" s="4" t="s">
        <v>366</v>
      </c>
      <c r="C17" s="3" t="s">
        <v>367</v>
      </c>
      <c r="D17" s="3" t="s">
        <v>392</v>
      </c>
      <c r="E17" s="3" t="s">
        <v>393</v>
      </c>
      <c r="F17" s="3" t="s">
        <v>394</v>
      </c>
      <c r="G17" s="3" t="s">
        <v>10</v>
      </c>
    </row>
    <row r="18" spans="1:7" x14ac:dyDescent="0.25">
      <c r="A18" s="3" t="s">
        <v>395</v>
      </c>
      <c r="B18" s="4" t="s">
        <v>366</v>
      </c>
      <c r="C18" s="3" t="s">
        <v>367</v>
      </c>
      <c r="D18" s="3" t="s">
        <v>396</v>
      </c>
      <c r="E18" s="3" t="s">
        <v>397</v>
      </c>
      <c r="F18" s="3" t="s">
        <v>398</v>
      </c>
      <c r="G18" s="3" t="s">
        <v>52</v>
      </c>
    </row>
    <row r="19" spans="1:7" ht="25.5" x14ac:dyDescent="0.25">
      <c r="A19" s="3" t="s">
        <v>399</v>
      </c>
      <c r="B19" s="4" t="s">
        <v>366</v>
      </c>
      <c r="C19" s="3" t="s">
        <v>367</v>
      </c>
      <c r="D19" s="3" t="s">
        <v>400</v>
      </c>
      <c r="E19" s="3" t="s">
        <v>401</v>
      </c>
      <c r="F19" s="3" t="s">
        <v>402</v>
      </c>
      <c r="G19" s="3" t="s">
        <v>10</v>
      </c>
    </row>
    <row r="20" spans="1:7" x14ac:dyDescent="0.25">
      <c r="A20" s="3" t="s">
        <v>403</v>
      </c>
      <c r="B20" s="4" t="s">
        <v>366</v>
      </c>
      <c r="C20" s="3" t="s">
        <v>367</v>
      </c>
      <c r="D20" s="3" t="s">
        <v>404</v>
      </c>
      <c r="E20" s="3" t="s">
        <v>405</v>
      </c>
      <c r="F20" s="3" t="s">
        <v>406</v>
      </c>
      <c r="G20" s="3" t="s">
        <v>52</v>
      </c>
    </row>
    <row r="21" spans="1:7" x14ac:dyDescent="0.25">
      <c r="A21" s="3" t="s">
        <v>407</v>
      </c>
      <c r="B21" s="4" t="s">
        <v>366</v>
      </c>
      <c r="C21" s="3" t="s">
        <v>367</v>
      </c>
      <c r="D21" s="3" t="s">
        <v>408</v>
      </c>
      <c r="E21" s="3" t="s">
        <v>409</v>
      </c>
      <c r="F21" s="3" t="s">
        <v>410</v>
      </c>
      <c r="G21" s="3" t="s">
        <v>10</v>
      </c>
    </row>
    <row r="22" spans="1:7" ht="25.5" x14ac:dyDescent="0.25">
      <c r="A22" s="3" t="s">
        <v>411</v>
      </c>
      <c r="B22" s="4" t="s">
        <v>366</v>
      </c>
      <c r="C22" s="3" t="s">
        <v>412</v>
      </c>
      <c r="D22" s="3" t="s">
        <v>413</v>
      </c>
      <c r="E22" s="3" t="s">
        <v>414</v>
      </c>
      <c r="F22" s="3" t="s">
        <v>415</v>
      </c>
      <c r="G22" s="3" t="s">
        <v>10</v>
      </c>
    </row>
    <row r="23" spans="1:7" ht="25.5" x14ac:dyDescent="0.25">
      <c r="A23" s="3" t="s">
        <v>416</v>
      </c>
      <c r="B23" s="4" t="s">
        <v>366</v>
      </c>
      <c r="C23" s="3" t="s">
        <v>412</v>
      </c>
      <c r="D23" s="3" t="s">
        <v>417</v>
      </c>
      <c r="E23" s="3" t="s">
        <v>418</v>
      </c>
      <c r="F23" s="3" t="s">
        <v>419</v>
      </c>
      <c r="G23" s="3" t="s">
        <v>346</v>
      </c>
    </row>
    <row r="24" spans="1:7" x14ac:dyDescent="0.25">
      <c r="A24" s="3" t="s">
        <v>420</v>
      </c>
      <c r="B24" s="4" t="s">
        <v>366</v>
      </c>
      <c r="C24" s="3" t="s">
        <v>296</v>
      </c>
      <c r="D24" s="3" t="s">
        <v>421</v>
      </c>
      <c r="E24" s="3" t="s">
        <v>422</v>
      </c>
      <c r="F24" s="3" t="s">
        <v>423</v>
      </c>
      <c r="G24" s="3" t="s">
        <v>52</v>
      </c>
    </row>
    <row r="25" spans="1:7" x14ac:dyDescent="0.25">
      <c r="A25" s="3" t="s">
        <v>424</v>
      </c>
      <c r="B25" s="4" t="s">
        <v>366</v>
      </c>
      <c r="C25" s="3" t="s">
        <v>296</v>
      </c>
      <c r="D25" s="3" t="s">
        <v>425</v>
      </c>
      <c r="E25" s="3" t="s">
        <v>426</v>
      </c>
      <c r="F25" s="3" t="s">
        <v>427</v>
      </c>
      <c r="G25" s="3" t="s">
        <v>52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0-Mavjud ogohlantirish</vt:lpstr>
      <vt:lpstr>1-Bir komponentli</vt:lpstr>
      <vt:lpstr>2-Sifat (musbat-manfiy)</vt:lpstr>
      <vt:lpstr>3-Kop komponentli</vt:lpstr>
      <vt:lpstr>4-Signal katalogi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alfatech.uz</cp:lastModifiedBy>
  <dcterms:created xsi:type="dcterms:W3CDTF">2026-08-11T03:32:22Z</dcterms:created>
  <dcterms:modified xsi:type="dcterms:W3CDTF">2026-08-11T08:53:35Z</dcterms:modified>
</cp:coreProperties>
</file>